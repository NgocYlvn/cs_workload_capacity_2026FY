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FB043708-F7B4-4F77-A284-EBAE53EC5170}" xr6:coauthVersionLast="47" xr6:coauthVersionMax="47" xr10:uidLastSave="{00000000-0000-0000-0000-000000000000}"/>
  <bookViews>
    <workbookView xWindow="-110" yWindow="-110" windowWidth="19420" windowHeight="10300" tabRatio="923" activeTab="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4" hidden="1">'4. Workload by Activity'!$A$2:$N$114</definedName>
    <definedName name="_xlnm._FilterDatabase" localSheetId="5" hidden="1">'5. C Vol.'!$A$2:$O$75</definedName>
    <definedName name="_xlnm._FilterDatabase" localSheetId="7" hidden="1">'7. S Vol.'!$A$2:$Q$45</definedName>
    <definedName name="_xlnm._FilterDatabase" localSheetId="3" hidden="1">'Customer Volume-N&amp;S'!$A$2:$P$1163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114" i="5" l="1"/>
  <c r="L113" i="5"/>
  <c r="L112" i="5"/>
  <c r="L111" i="5"/>
  <c r="L110" i="5"/>
  <c r="L109" i="5"/>
  <c r="L108" i="5"/>
  <c r="M108" i="5" s="1"/>
  <c r="N108" i="5" s="1"/>
  <c r="L107" i="5"/>
  <c r="L106" i="5"/>
  <c r="L105" i="5"/>
  <c r="L104" i="5"/>
  <c r="L103" i="5"/>
  <c r="L102" i="5"/>
  <c r="L101" i="5"/>
  <c r="M101" i="5" s="1"/>
  <c r="N101" i="5" s="1"/>
  <c r="L100" i="5"/>
  <c r="L99" i="5"/>
  <c r="L98" i="5"/>
  <c r="L97" i="5"/>
  <c r="L96" i="5"/>
  <c r="M96" i="5" s="1"/>
  <c r="N96" i="5" s="1"/>
  <c r="L95" i="5"/>
  <c r="M95" i="5" s="1"/>
  <c r="N95" i="5" s="1"/>
  <c r="L94" i="5"/>
  <c r="M94" i="5" s="1"/>
  <c r="N94" i="5" s="1"/>
  <c r="L93" i="5"/>
  <c r="L92" i="5"/>
  <c r="L91" i="5"/>
  <c r="L90" i="5"/>
  <c r="L89" i="5"/>
  <c r="L88" i="5"/>
  <c r="L87" i="5"/>
  <c r="M87" i="5" s="1"/>
  <c r="N87" i="5" s="1"/>
  <c r="L86" i="5"/>
  <c r="L85" i="5"/>
  <c r="L84" i="5"/>
  <c r="L83" i="5"/>
  <c r="L82" i="5"/>
  <c r="L81" i="5"/>
  <c r="M81" i="5" s="1"/>
  <c r="N81" i="5" s="1"/>
  <c r="L80" i="5"/>
  <c r="M80" i="5" s="1"/>
  <c r="N80" i="5" s="1"/>
  <c r="L79" i="5"/>
  <c r="L78" i="5"/>
  <c r="L77" i="5"/>
  <c r="L76" i="5"/>
  <c r="L75" i="5"/>
  <c r="L74" i="5"/>
  <c r="L73" i="5"/>
  <c r="M73" i="5" s="1"/>
  <c r="N73" i="5" s="1"/>
  <c r="L72" i="5"/>
  <c r="L71" i="5"/>
  <c r="L70" i="5"/>
  <c r="L69" i="5"/>
  <c r="L68" i="5"/>
  <c r="L67" i="5"/>
  <c r="M67" i="5" s="1"/>
  <c r="N67" i="5" s="1"/>
  <c r="L66" i="5"/>
  <c r="M66" i="5" s="1"/>
  <c r="N66" i="5" s="1"/>
  <c r="L65" i="5"/>
  <c r="L64" i="5"/>
  <c r="L63" i="5"/>
  <c r="L62" i="5"/>
  <c r="L61" i="5"/>
  <c r="L60" i="5"/>
  <c r="M60" i="5" s="1"/>
  <c r="N60" i="5" s="1"/>
  <c r="L59" i="5"/>
  <c r="M59" i="5" s="1"/>
  <c r="N59" i="5" s="1"/>
  <c r="L58" i="5"/>
  <c r="L57" i="5"/>
  <c r="L56" i="5"/>
  <c r="L55" i="5"/>
  <c r="L54" i="5"/>
  <c r="L53" i="5"/>
  <c r="M53" i="5" s="1"/>
  <c r="N53" i="5" s="1"/>
  <c r="L52" i="5"/>
  <c r="M52" i="5" s="1"/>
  <c r="N52" i="5" s="1"/>
  <c r="L51" i="5"/>
  <c r="L50" i="5"/>
  <c r="L49" i="5"/>
  <c r="L48" i="5"/>
  <c r="L47" i="5"/>
  <c r="L46" i="5"/>
  <c r="L45" i="5"/>
  <c r="M45" i="5" s="1"/>
  <c r="N45" i="5" s="1"/>
  <c r="L44" i="5"/>
  <c r="L43" i="5"/>
  <c r="L42" i="5"/>
  <c r="L41" i="5"/>
  <c r="L40" i="5"/>
  <c r="L39" i="5"/>
  <c r="L38" i="5"/>
  <c r="M38" i="5" s="1"/>
  <c r="N38" i="5" s="1"/>
  <c r="L37" i="5"/>
  <c r="L36" i="5"/>
  <c r="L35" i="5"/>
  <c r="L34" i="5"/>
  <c r="L33" i="5"/>
  <c r="L32" i="5"/>
  <c r="M32" i="5" s="1"/>
  <c r="N32" i="5" s="1"/>
  <c r="L31" i="5"/>
  <c r="M31" i="5" s="1"/>
  <c r="N31" i="5" s="1"/>
  <c r="M54" i="5" l="1"/>
  <c r="N54" i="5" s="1"/>
  <c r="M61" i="5"/>
  <c r="N61" i="5" s="1"/>
  <c r="M46" i="5"/>
  <c r="N46" i="5" s="1"/>
  <c r="M109" i="5"/>
  <c r="N109" i="5" s="1"/>
  <c r="M90" i="5"/>
  <c r="N90" i="5" s="1"/>
  <c r="M74" i="5"/>
  <c r="N74" i="5" s="1"/>
  <c r="M39" i="5"/>
  <c r="N39" i="5" s="1"/>
  <c r="M76" i="5"/>
  <c r="N76" i="5" s="1"/>
  <c r="M91" i="5"/>
  <c r="N91" i="5" s="1"/>
  <c r="M111" i="5"/>
  <c r="N111" i="5" s="1"/>
  <c r="M102" i="5"/>
  <c r="N102" i="5" s="1"/>
  <c r="M55" i="5"/>
  <c r="N55" i="5" s="1"/>
  <c r="M40" i="5"/>
  <c r="N40" i="5" s="1"/>
  <c r="M33" i="5"/>
  <c r="N33" i="5" s="1"/>
  <c r="M110" i="5"/>
  <c r="N110" i="5" s="1"/>
  <c r="M68" i="5"/>
  <c r="N68" i="5" s="1"/>
  <c r="M103" i="5"/>
  <c r="N103" i="5" s="1"/>
  <c r="M47" i="5"/>
  <c r="N47" i="5" s="1"/>
  <c r="M62" i="5"/>
  <c r="N62" i="5" s="1"/>
  <c r="M69" i="5"/>
  <c r="N69" i="5" s="1"/>
  <c r="M56" i="5"/>
  <c r="N56" i="5" s="1"/>
  <c r="M82" i="5"/>
  <c r="N82" i="5" s="1"/>
  <c r="M36" i="5"/>
  <c r="N36" i="5" s="1"/>
  <c r="M84" i="5"/>
  <c r="N84" i="5" s="1"/>
  <c r="M42" i="5"/>
  <c r="N42" i="5" s="1"/>
  <c r="M105" i="5"/>
  <c r="N105" i="5" s="1"/>
  <c r="M83" i="5"/>
  <c r="N83" i="5" s="1"/>
  <c r="M41" i="5"/>
  <c r="N41" i="5" s="1"/>
  <c r="M104" i="5"/>
  <c r="N104" i="5" s="1"/>
  <c r="M77" i="5"/>
  <c r="N77" i="5" s="1"/>
  <c r="M63" i="5"/>
  <c r="N63" i="5" s="1"/>
  <c r="M49" i="5"/>
  <c r="N49" i="5" s="1"/>
  <c r="M34" i="5"/>
  <c r="N34" i="5" s="1"/>
  <c r="M75" i="5"/>
  <c r="N75" i="5" s="1"/>
  <c r="M70" i="5"/>
  <c r="N70" i="5" s="1"/>
  <c r="M48" i="5"/>
  <c r="N48" i="5" s="1"/>
  <c r="M35" i="5"/>
  <c r="N35" i="5" s="1"/>
  <c r="M44" i="5"/>
  <c r="N44" i="5" s="1"/>
  <c r="M37" i="5"/>
  <c r="N37" i="5" s="1"/>
  <c r="M98" i="5"/>
  <c r="N98" i="5" s="1"/>
  <c r="M85" i="5"/>
  <c r="N85" i="5" s="1"/>
  <c r="M92" i="5"/>
  <c r="N92" i="5" s="1"/>
  <c r="M79" i="5"/>
  <c r="N79" i="5" s="1"/>
  <c r="M72" i="5"/>
  <c r="N72" i="5" s="1"/>
  <c r="M112" i="5"/>
  <c r="N112" i="5" s="1"/>
  <c r="M107" i="5"/>
  <c r="N107" i="5" s="1"/>
  <c r="M100" i="5"/>
  <c r="N100" i="5" s="1"/>
  <c r="M78" i="5"/>
  <c r="N78" i="5" s="1"/>
  <c r="M114" i="5"/>
  <c r="N114" i="5" s="1"/>
  <c r="M99" i="5"/>
  <c r="N99" i="5" s="1"/>
  <c r="M93" i="5"/>
  <c r="N93" i="5" s="1"/>
  <c r="M89" i="5"/>
  <c r="N89" i="5" s="1"/>
  <c r="M86" i="5"/>
  <c r="N86" i="5" s="1"/>
  <c r="M51" i="5"/>
  <c r="N51" i="5" s="1"/>
  <c r="M113" i="5"/>
  <c r="N113" i="5" s="1"/>
  <c r="M106" i="5"/>
  <c r="N106" i="5" s="1"/>
  <c r="M97" i="5"/>
  <c r="N97" i="5" s="1"/>
  <c r="M88" i="5"/>
  <c r="N88" i="5" s="1"/>
  <c r="M71" i="5"/>
  <c r="N71" i="5" s="1"/>
  <c r="M65" i="5"/>
  <c r="N65" i="5" s="1"/>
  <c r="M64" i="5"/>
  <c r="N64" i="5" s="1"/>
  <c r="M57" i="5"/>
  <c r="N57" i="5" s="1"/>
  <c r="M50" i="5"/>
  <c r="N50" i="5" s="1"/>
  <c r="M43" i="5"/>
  <c r="N43" i="5" s="1"/>
  <c r="M58" i="5"/>
  <c r="N58" i="5" s="1"/>
  <c r="P20" i="12"/>
  <c r="P19" i="12"/>
  <c r="P18" i="12"/>
  <c r="P17" i="12"/>
  <c r="P16" i="12"/>
  <c r="P15" i="12"/>
  <c r="P14" i="12"/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<sst xmlns="http://schemas.openxmlformats.org/spreadsheetml/2006/main" count="4137" uniqueCount="1436">
  <si>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</si>
  <si>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</si>
  <si>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</si>
  <si>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</si>
  <si>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</si>
  <si>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</si>
  <si>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</si>
  <si>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</si>
  <si>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</si>
  <si>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</si>
  <si>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</si>
  <si>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</si>
  <si>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</si>
  <si>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</si>
  <si>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</si>
  <si>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</si>
  <si>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</si>
  <si>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</si>
  <si>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</si>
  <si>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</si>
  <si>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</si>
  <si>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</si>
  <si>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</si>
  <si>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</si>
  <si>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</si>
  <si>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</si>
  <si>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</si>
  <si>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</si>
  <si>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</si>
  <si>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</si>
  <si>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</si>
  <si>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</si>
  <si>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</si>
  <si>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</si>
  <si>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</si>
  <si>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</si>
  <si>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</si>
  <si>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</si>
  <si>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</si>
  <si>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</si>
  <si>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</si>
  <si>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</si>
  <si>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</si>
  <si>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</si>
  <si>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</si>
  <si>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</si>
  <si>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</si>
  <si>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</si>
  <si>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</si>
  <si>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</si>
  <si>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</si>
  <si>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</si>
  <si>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</si>
  <si>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</si>
  <si>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</si>
  <si>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</si>
  <si>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</si>
  <si>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</si>
  <si>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</si>
  <si>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</si>
  <si>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</si>
  <si>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</si>
  <si>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</si>
  <si>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</si>
  <si>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</si>
  <si>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</si>
  <si>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</si>
  <si>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</si>
  <si>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</si>
  <si>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</si>
  <si>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</si>
  <si>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</si>
  <si>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</si>
  <si>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</si>
  <si>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</si>
  <si>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</si>
  <si>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</si>
  <si>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</si>
  <si>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</si>
  <si>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</si>
  <si>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</si>
  <si>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</si>
  <si>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</si>
  <si>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</si>
  <si>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</si>
  <si>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</si>
  <si>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</si>
  <si>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</si>
  <si>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</si>
  <si>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</si>
  <si>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</si>
  <si>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</si>
  <si>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</si>
  <si>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</si>
  <si>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</si>
  <si>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</si>
  <si>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</si>
  <si>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</si>
  <si>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</si>
  <si>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</si>
  <si>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</si>
  <si>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</si>
  <si>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</si>
  <si>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</si>
  <si>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</si>
  <si>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</si>
  <si>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</si>
  <si>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</si>
  <si>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</si>
  <si>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</si>
  <si>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</si>
  <si>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</si>
  <si>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</si>
  <si>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</si>
  <si>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</si>
  <si>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</si>
  <si>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</si>
  <si>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</si>
  <si>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</si>
  <si>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</si>
  <si>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</si>
  <si>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</si>
  <si>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</si>
  <si>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</si>
  <si>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</si>
  <si>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</si>
  <si>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</si>
  <si>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</si>
  <si>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</si>
  <si>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</si>
  <si>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</si>
  <si>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</si>
  <si>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</si>
  <si>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</si>
  <si>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</si>
  <si>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</si>
  <si>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</si>
  <si>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</si>
  <si>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</si>
  <si>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</si>
  <si>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</si>
  <si>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</si>
  <si>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</si>
  <si>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</si>
  <si>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</si>
  <si>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</si>
  <si>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</si>
  <si>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</si>
  <si>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</si>
  <si>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</si>
  <si>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</si>
  <si>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</si>
  <si>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</si>
  <si>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</si>
  <si>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</si>
  <si>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</si>
  <si>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</si>
  <si>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</si>
  <si>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</si>
  <si>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</si>
  <si>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</si>
  <si>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</si>
  <si>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</si>
  <si>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</si>
  <si>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</si>
  <si>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</si>
  <si>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</si>
  <si>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</si>
  <si>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</si>
  <si>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</si>
  <si>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</si>
  <si>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</si>
  <si>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</si>
  <si>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</si>
  <si>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</si>
  <si>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</si>
  <si>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</si>
  <si>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</si>
  <si>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</si>
  <si>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</si>
  <si>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</si>
  <si>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</si>
  <si>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</si>
  <si>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</si>
  <si>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</si>
  <si>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</si>
  <si>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</si>
  <si>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</si>
  <si>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</si>
  <si>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</si>
  <si>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</si>
  <si>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</si>
  <si>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</si>
  <si>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</si>
  <si>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</si>
  <si>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</si>
  <si>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</si>
  <si>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</si>
  <si>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</si>
  <si>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</si>
  <si>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</si>
  <si>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</si>
  <si>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</si>
  <si>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</si>
  <si>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</si>
  <si>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</si>
  <si>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</si>
  <si>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</si>
  <si>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</si>
  <si>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</si>
  <si>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</si>
  <si>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</si>
  <si>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</si>
  <si>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</si>
  <si>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</si>
  <si>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</si>
  <si>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</si>
  <si>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</si>
  <si>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</si>
  <si>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</si>
  <si>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</si>
  <si>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</si>
  <si>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</si>
  <si>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</si>
  <si>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</si>
  <si>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</si>
  <si>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</si>
  <si>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</si>
  <si>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</si>
  <si>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</si>
  <si>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</si>
  <si>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</si>
  <si>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</si>
  <si>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</si>
  <si>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</si>
  <si>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</si>
  <si>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</si>
  <si>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</si>
  <si>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</si>
  <si>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</si>
  <si>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</si>
  <si>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</si>
  <si>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</si>
  <si>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</si>
  <si>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</si>
  <si>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</si>
  <si>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</si>
  <si>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</si>
  <si>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</si>
  <si>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</si>
  <si>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</si>
  <si>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</si>
  <si>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</si>
  <si>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</si>
  <si>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</si>
  <si>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</si>
  <si>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</si>
  <si>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</si>
  <si>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</si>
  <si>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</si>
  <si>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</si>
  <si>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</si>
  <si>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</si>
  <si>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</si>
  <si>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</si>
  <si>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</si>
  <si>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</si>
  <si>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</si>
  <si>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</si>
  <si>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</si>
  <si>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</si>
  <si>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</si>
  <si>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</si>
  <si>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</si>
  <si>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</si>
  <si>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</si>
  <si>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</si>
  <si>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</si>
  <si>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</si>
  <si>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</si>
  <si>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</si>
  <si>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</si>
  <si>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</si>
  <si>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</si>
  <si>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</si>
  <si>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</si>
  <si>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</si>
  <si>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</si>
  <si>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</si>
  <si>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</si>
  <si>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</si>
  <si>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</si>
  <si>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</si>
  <si>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</si>
  <si>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</si>
  <si>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</si>
  <si>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</si>
  <si>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</si>
  <si>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</si>
  <si>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</si>
  <si>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</si>
  <si>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</si>
  <si>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</si>
  <si>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</si>
  <si>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</si>
  <si>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</si>
  <si>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</si>
  <si>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</si>
  <si>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</si>
  <si>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</si>
  <si>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</si>
  <si>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</si>
  <si>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</si>
  <si>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</si>
  <si>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</si>
  <si>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</si>
  <si>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</si>
  <si>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</si>
  <si>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</si>
  <si>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</si>
  <si>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</si>
  <si>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</si>
  <si>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</si>
  <si>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</si>
  <si>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</si>
  <si>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</si>
  <si>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</si>
  <si>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</si>
  <si>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</si>
  <si>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</si>
  <si>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</si>
  <si>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</si>
  <si>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</si>
  <si>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</si>
  <si>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</si>
  <si>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</si>
  <si>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</si>
  <si>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</si>
  <si>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</si>
  <si>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</si>
  <si>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</si>
  <si>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</si>
  <si>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</si>
  <si>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</si>
  <si>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</si>
  <si>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</si>
  <si>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</si>
  <si>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</si>
  <si>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</si>
  <si>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</si>
  <si>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</si>
  <si>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</si>
  <si>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</si>
  <si>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</si>
  <si>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</si>
  <si>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</si>
  <si>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</si>
  <si>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</si>
  <si>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</si>
  <si>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</si>
  <si>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</si>
  <si>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</si>
  <si>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</si>
  <si>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</si>
  <si>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</si>
  <si>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</si>
  <si>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</si>
  <si>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</si>
  <si>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</si>
  <si>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</si>
  <si>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</si>
  <si>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</si>
  <si>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</si>
  <si>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</si>
  <si>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</si>
  <si>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</si>
  <si>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</si>
  <si>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</si>
  <si>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</si>
  <si>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</si>
  <si>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</si>
  <si>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</si>
  <si>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</si>
  <si>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</si>
  <si>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</si>
  <si>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</si>
  <si>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</si>
  <si>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</si>
  <si>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</si>
  <si>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</si>
  <si>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</si>
  <si>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</si>
  <si>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</si>
  <si>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</si>
  <si>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</si>
  <si>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</si>
  <si>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</si>
  <si>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</si>
  <si>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</si>
  <si>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</si>
  <si>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</si>
  <si>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</si>
  <si>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</si>
  <si>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</si>
  <si>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</si>
  <si>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</si>
  <si>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</si>
  <si>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</si>
  <si>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</si>
  <si>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</si>
  <si>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</si>
  <si>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</si>
  <si>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</si>
  <si>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</si>
  <si>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</si>
  <si>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</si>
  <si>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</si>
  <si>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</si>
  <si>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</si>
  <si>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</si>
  <si>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</si>
  <si>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</si>
  <si>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</si>
  <si>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</si>
  <si>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</si>
  <si>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</si>
  <si>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</si>
  <si>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</si>
  <si>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</si>
  <si>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</si>
  <si>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</si>
  <si>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</si>
  <si>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</si>
  <si>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</si>
  <si>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</si>
  <si>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</si>
  <si>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</si>
  <si>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</si>
  <si>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</si>
  <si>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</si>
  <si>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</si>
  <si>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</si>
  <si>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</si>
  <si>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</si>
  <si>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</si>
  <si>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</si>
  <si>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</si>
  <si>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</si>
  <si>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</si>
  <si>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</si>
  <si>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</si>
  <si>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</si>
  <si>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</si>
  <si>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</si>
  <si>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</si>
  <si>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</si>
  <si>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</si>
  <si>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</si>
  <si>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</si>
  <si>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</si>
  <si>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</si>
  <si>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</si>
  <si>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</si>
  <si>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</si>
  <si>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</si>
  <si>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</si>
  <si>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</si>
  <si>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</si>
  <si>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</si>
  <si>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</si>
  <si>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</si>
  <si>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</si>
  <si>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</si>
  <si>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</si>
  <si>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</si>
  <si>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</si>
  <si>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</si>
  <si>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</si>
  <si>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</si>
  <si>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</si>
  <si>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</si>
  <si>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</si>
  <si>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</si>
  <si>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</si>
  <si>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</si>
  <si>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</si>
  <si>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</si>
  <si>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</si>
  <si>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</si>
  <si>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</si>
  <si>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</si>
  <si>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</si>
  <si>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</si>
  <si>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</si>
  <si>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</si>
  <si>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</si>
  <si>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</si>
  <si>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</si>
  <si>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</si>
  <si>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</si>
  <si>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</si>
  <si>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</si>
  <si>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</si>
  <si>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</si>
  <si>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</si>
  <si>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</si>
  <si>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</si>
  <si>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</si>
  <si>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</si>
  <si>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</si>
  <si>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</si>
  <si>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</si>
  <si>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</si>
  <si>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</si>
  <si>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</si>
  <si>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</si>
  <si>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</si>
  <si>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</si>
  <si>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</si>
  <si>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</si>
  <si>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</si>
  <si>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</si>
  <si>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</si>
  <si>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</si>
  <si>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</si>
  <si>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</si>
  <si>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</si>
  <si>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</si>
  <si>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</si>
  <si>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</si>
  <si>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</si>
  <si>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</si>
  <si>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</si>
  <si>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</si>
  <si>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</si>
  <si>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</si>
  <si>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</si>
  <si>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</si>
  <si>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</si>
  <si>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</si>
  <si>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</si>
  <si>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</si>
  <si>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</si>
  <si>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</si>
  <si>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</si>
  <si>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</si>
  <si>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</si>
  <si>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</si>
  <si>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</si>
  <si>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</si>
  <si>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</si>
  <si>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</si>
  <si>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</si>
  <si>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</si>
  <si>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</si>
  <si>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</si>
  <si>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</si>
  <si>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</si>
  <si>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</si>
  <si>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</si>
  <si>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</si>
  <si>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</si>
  <si>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</si>
  <si>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</si>
  <si>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</si>
  <si>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</si>
  <si>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</si>
  <si>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</si>
  <si>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</si>
  <si>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</si>
  <si>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</si>
  <si>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</si>
  <si>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</si>
  <si>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</si>
  <si>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</si>
  <si>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</si>
  <si>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</si>
  <si>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</si>
  <si>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</si>
  <si>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</si>
  <si>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</si>
  <si>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</si>
  <si>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</si>
  <si>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</si>
  <si>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</si>
  <si>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</si>
  <si>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</si>
  <si>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</si>
  <si>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</si>
  <si>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</si>
  <si>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</si>
  <si>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</si>
  <si>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</si>
  <si>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</si>
  <si>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</si>
  <si>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</si>
  <si>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</si>
  <si>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</si>
  <si>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</si>
  <si>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</si>
  <si>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</si>
  <si>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</si>
  <si>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</si>
  <si>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</si>
  <si>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</si>
  <si>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</si>
  <si>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</si>
  <si>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</si>
  <si>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</si>
  <si>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</si>
  <si>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</si>
  <si>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</si>
  <si>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</si>
  <si>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</si>
  <si>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</si>
  <si>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</si>
  <si>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</si>
  <si>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</si>
  <si>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</si>
  <si>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</si>
  <si>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</si>
  <si>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</si>
  <si>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</si>
  <si>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</si>
  <si>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</si>
  <si>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</si>
  <si>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</si>
  <si>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</si>
  <si>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</si>
  <si>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</si>
  <si>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</si>
  <si>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</si>
  <si>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</si>
  <si>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</si>
  <si>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</si>
  <si>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</si>
  <si>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</si>
  <si>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</si>
  <si>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</si>
  <si>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</si>
  <si>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</si>
  <si>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</si>
  <si>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</si>
  <si>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</si>
  <si>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</si>
  <si>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</si>
  <si>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</si>
  <si>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</si>
  <si>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</si>
  <si>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</si>
  <si>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</si>
  <si>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</si>
  <si>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</si>
  <si>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</si>
  <si>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</si>
  <si>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</si>
  <si>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</si>
  <si>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</si>
  <si>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</si>
  <si>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</si>
  <si>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</si>
  <si>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</si>
  <si>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</si>
  <si>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</si>
  <si>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</si>
  <si>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</si>
  <si>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</si>
  <si>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</si>
  <si>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</si>
  <si>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</si>
  <si>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</si>
  <si>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</si>
  <si>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</si>
  <si>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</si>
  <si>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</si>
  <si>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</si>
  <si>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</si>
  <si>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</si>
  <si>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</si>
  <si>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</si>
  <si>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</si>
  <si>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</si>
  <si>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</si>
  <si>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</si>
  <si>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</si>
  <si>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</si>
  <si>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</si>
  <si>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</si>
  <si>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</si>
  <si>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</si>
  <si>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</si>
  <si>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</si>
  <si>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</si>
  <si>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</si>
  <si>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</si>
  <si>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</si>
  <si>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</si>
  <si>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</si>
  <si>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</si>
  <si>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</si>
  <si>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</si>
  <si>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</si>
  <si>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</si>
  <si>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</si>
  <si>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</si>
  <si>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</si>
  <si>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</si>
  <si>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</si>
  <si>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</si>
  <si>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</si>
  <si>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</si>
  <si>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</si>
  <si>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</si>
  <si>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</si>
  <si>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</si>
  <si>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</si>
  <si>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</si>
  <si>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</si>
  <si>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</si>
  <si>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</si>
  <si>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</si>
  <si>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</si>
  <si>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</si>
  <si>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</si>
  <si>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</si>
  <si>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</si>
  <si>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</si>
  <si>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</si>
  <si>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</si>
  <si>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</si>
  <si>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</si>
  <si>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</si>
  <si>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</si>
  <si>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</si>
  <si>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</si>
  <si>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</si>
  <si>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</si>
  <si>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</si>
  <si>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</si>
  <si>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</si>
  <si>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</si>
  <si>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</si>
  <si>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</si>
  <si>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</si>
  <si>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</si>
  <si>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</si>
  <si>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</si>
  <si>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</si>
  <si>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</si>
  <si>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</si>
  <si>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</si>
  <si>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</si>
  <si>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</si>
  <si>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</si>
  <si>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</si>
  <si>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</si>
  <si>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</si>
  <si>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</si>
  <si>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</si>
  <si>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</si>
  <si>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</si>
  <si>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</si>
  <si>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</si>
  <si>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</si>
  <si>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</si>
  <si>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</si>
  <si>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</si>
  <si>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</si>
  <si>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</si>
  <si>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</si>
  <si>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</si>
  <si>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</si>
  <si>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</si>
  <si>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</si>
  <si>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</si>
  <si>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</si>
  <si>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</si>
  <si>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</si>
  <si>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</si>
  <si>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</si>
  <si>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</si>
  <si>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</si>
  <si>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</si>
  <si>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</si>
  <si>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</si>
  <si>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</si>
  <si>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</si>
  <si>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</si>
  <si>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</si>
  <si>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</si>
  <si>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</si>
  <si>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</si>
  <si>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</si>
  <si>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</si>
  <si>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</si>
  <si>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</si>
  <si>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</si>
  <si>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</si>
  <si>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</si>
  <si>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</si>
  <si>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</si>
  <si>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</si>
  <si>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</si>
  <si>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</si>
  <si>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</si>
  <si>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</si>
  <si>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</si>
  <si>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</si>
  <si>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</si>
  <si>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</si>
  <si>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</si>
  <si>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</si>
  <si>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</si>
  <si>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</si>
  <si>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</si>
  <si>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</si>
  <si>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</si>
  <si>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</si>
  <si>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</si>
  <si>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</si>
  <si>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</si>
  <si>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</si>
  <si>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</si>
  <si>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</si>
  <si>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</si>
  <si>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</si>
  <si>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</si>
  <si>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</si>
  <si>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</si>
  <si>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</si>
  <si>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</si>
  <si>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</si>
  <si>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</si>
  <si>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</si>
  <si>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</si>
  <si>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</si>
  <si>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</si>
  <si>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</si>
  <si>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</si>
  <si>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</si>
  <si>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</si>
  <si>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</si>
  <si>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</si>
  <si>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</si>
  <si>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</si>
  <si>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</si>
  <si>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</si>
  <si>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</si>
  <si>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</si>
  <si>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</si>
  <si>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</si>
  <si>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</si>
  <si>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</si>
  <si>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</si>
  <si>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</si>
  <si>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</si>
  <si>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</si>
  <si>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</si>
  <si>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</si>
  <si>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</si>
  <si>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</si>
  <si>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</si>
  <si>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</si>
  <si>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</si>
  <si>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</si>
  <si>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</si>
  <si>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</si>
  <si>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</si>
  <si>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</si>
  <si>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</si>
  <si>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</si>
  <si>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</si>
  <si>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</si>
  <si>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</si>
  <si>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</si>
  <si>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</si>
  <si>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</si>
  <si>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</si>
  <si>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</si>
  <si>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</si>
  <si>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</si>
  <si>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</si>
  <si>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</si>
  <si>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</si>
  <si>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</si>
  <si>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</si>
  <si>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</si>
  <si>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</si>
  <si>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</si>
  <si>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</si>
  <si>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</si>
  <si>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</si>
  <si>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</si>
  <si>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</si>
  <si>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</si>
  <si>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</si>
  <si>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</si>
  <si>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</si>
  <si>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</si>
  <si>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</si>
  <si>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</si>
  <si>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</si>
  <si>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</si>
  <si>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</si>
  <si>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</si>
  <si>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</si>
  <si>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</si>
  <si>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</si>
  <si>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</si>
  <si>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</si>
  <si>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</si>
  <si>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</si>
  <si>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</si>
  <si>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</si>
  <si>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</si>
  <si>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</si>
  <si>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</si>
  <si>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</si>
  <si>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</si>
  <si>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</si>
  <si>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</si>
  <si>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</si>
  <si>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</si>
  <si>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</si>
  <si>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</si>
  <si>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</si>
  <si>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</si>
  <si>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</si>
  <si>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</si>
  <si>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</si>
  <si>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</si>
  <si>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</si>
  <si>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</si>
  <si>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</si>
  <si>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</si>
  <si>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</si>
  <si>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</si>
  <si>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</si>
  <si>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</si>
  <si>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</si>
  <si>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</si>
  <si>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</si>
  <si>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</si>
  <si>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</si>
  <si>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</si>
  <si>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</si>
  <si>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</si>
  <si>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</si>
  <si>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</si>
  <si>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</si>
  <si>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</si>
  <si>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</si>
  <si>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</si>
  <si>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</si>
  <si>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</si>
  <si>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</si>
  <si>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</si>
  <si>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</si>
  <si>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</si>
  <si>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</si>
  <si>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</si>
  <si>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</si>
  <si>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</si>
  <si>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</si>
  <si>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</si>
  <si>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</si>
  <si>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</si>
  <si>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</si>
  <si>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</si>
  <si>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</si>
  <si>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</si>
  <si>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</si>
  <si>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</si>
  <si>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</si>
  <si>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</si>
  <si>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</si>
  <si>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</si>
  <si>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</si>
  <si>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</si>
  <si>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</si>
  <si>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</si>
  <si>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</si>
  <si>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</si>
  <si>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</si>
  <si>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</si>
  <si>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</si>
  <si>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</si>
  <si>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</si>
  <si>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</si>
  <si>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</si>
  <si>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</si>
  <si>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</si>
  <si>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</si>
  <si>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</si>
  <si>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</si>
  <si>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</si>
  <si>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</si>
  <si>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</si>
  <si>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</si>
  <si>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</si>
  <si>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</si>
  <si>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</si>
  <si>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</si>
  <si>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</si>
  <si>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</si>
  <si>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</si>
  <si>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</si>
  <si>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</si>
  <si>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</si>
  <si>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</si>
  <si>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</si>
  <si>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</si>
  <si>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</si>
  <si>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</si>
  <si>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</si>
  <si>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</si>
  <si>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</si>
  <si>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</si>
  <si>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</si>
  <si>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</si>
  <si>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</si>
  <si>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</si>
  <si>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</si>
  <si>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</si>
  <si>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</si>
  <si>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</si>
  <si>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</si>
  <si>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</si>
  <si>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</si>
  <si>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</si>
  <si>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</si>
  <si>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</si>
  <si>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</si>
  <si>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</si>
  <si>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</si>
  <si>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</si>
  <si>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</si>
  <si>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</si>
  <si>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</si>
  <si>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</si>
  <si>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</si>
  <si>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</si>
  <si>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</si>
  <si>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</si>
  <si>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</si>
  <si>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</si>
  <si>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</si>
  <si>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</si>
  <si>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</si>
  <si>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</si>
  <si>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</si>
  <si>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</si>
  <si>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</si>
  <si>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</si>
  <si>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</si>
  <si>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</si>
  <si>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</si>
  <si>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</si>
  <si>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</si>
  <si>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</si>
  <si>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</si>
  <si>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</si>
  <si>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</si>
  <si>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</si>
  <si>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</si>
  <si>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</si>
  <si>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</si>
  <si>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</si>
  <si>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</si>
  <si>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</si>
  <si>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</si>
  <si>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</si>
  <si>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</si>
  <si>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</si>
  <si>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</si>
  <si>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</si>
  <si>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</si>
  <si>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</si>
  <si>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</si>
  <si>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</si>
  <si>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</si>
  <si>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</si>
  <si>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</si>
  <si>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</si>
  <si>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</si>
  <si>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</si>
  <si>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</si>
  <si>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</si>
  <si>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</si>
  <si>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</si>
  <si>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</si>
  <si>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</si>
  <si>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</si>
  <si>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</si>
  <si>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</si>
  <si>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</si>
  <si>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</si>
  <si>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</si>
  <si>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</si>
  <si>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</si>
  <si>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</si>
  <si>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</si>
  <si>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</si>
  <si>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</si>
  <si>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</si>
  <si>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</si>
  <si>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</si>
  <si>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</si>
  <si>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</si>
  <si>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</si>
  <si>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</si>
  <si>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</si>
  <si>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</si>
  <si>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</si>
  <si>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</si>
  <si>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</si>
  <si>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</si>
  <si>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</si>
  <si>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</si>
  <si>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</si>
  <si>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</si>
  <si>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</si>
  <si>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</si>
  <si>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</si>
  <si>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</si>
  <si>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</si>
  <si>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</si>
  <si>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</si>
  <si>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</si>
  <si>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</si>
  <si>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</si>
  <si>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</si>
  <si>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</si>
  <si>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</si>
  <si>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</si>
  <si>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</si>
  <si>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</si>
  <si>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</si>
  <si>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</si>
  <si>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</si>
  <si>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</si>
  <si>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</si>
  <si>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</si>
  <si>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</si>
  <si>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</si>
  <si>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</si>
  <si>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</si>
  <si>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</si>
  <si>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</si>
  <si>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</si>
  <si>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</si>
  <si>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</si>
  <si>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</si>
  <si>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</si>
  <si>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</si>
  <si>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</si>
  <si>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</si>
  <si>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</si>
  <si>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</si>
  <si>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</si>
  <si>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</si>
  <si>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</si>
  <si>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</si>
  <si>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</si>
  <si>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</si>
  <si>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</si>
  <si>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</si>
  <si>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</si>
  <si>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</si>
  <si>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</si>
  <si>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</si>
  <si>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</si>
  <si>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</si>
  <si>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</si>
  <si>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</si>
  <si>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</si>
  <si>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</si>
  <si>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</si>
  <si>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</si>
  <si>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</si>
  <si>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</si>
  <si>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</si>
  <si>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</si>
  <si>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</si>
  <si>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</si>
  <si>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</si>
  <si>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</si>
  <si>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</si>
  <si>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</si>
  <si>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</si>
  <si>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</si>
  <si>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</si>
  <si>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</si>
  <si>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</si>
  <si>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</si>
  <si>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</si>
  <si>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</si>
  <si>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</si>
  <si>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</si>
  <si>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</si>
  <si>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</si>
  <si>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</si>
  <si>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</si>
  <si>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</si>
  <si>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</si>
  <si>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</si>
  <si>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</si>
  <si>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</si>
  <si>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</si>
  <si>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</si>
  <si>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</si>
  <si>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</si>
  <si>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</si>
  <si>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</si>
  <si>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</si>
  <si>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</si>
  <si>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</si>
  <si>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</si>
  <si>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</si>
  <si>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</si>
  <si>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</si>
  <si>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</si>
  <si>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</si>
  <si>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</si>
  <si>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</si>
  <si>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</si>
  <si>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</si>
  <si>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</si>
  <si>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</si>
  <si>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</si>
  <si>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</si>
  <si>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</si>
  <si>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</si>
  <si>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</si>
  <si>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</si>
  <si>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</si>
  <si>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</si>
  <si>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</si>
  <si>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</si>
  <si>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</si>
  <si>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</si>
  <si>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</si>
  <si>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</si>
  <si>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</si>
  <si>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</si>
  <si>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</si>
  <si>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</si>
  <si>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</si>
  <si>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</si>
  <si>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</si>
  <si>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</si>
  <si>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</si>
  <si>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</si>
  <si>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</si>
  <si>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</si>
  <si>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</si>
  <si>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</si>
  <si>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</si>
  <si>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</si>
  <si>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</si>
  <si>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</si>
  <si>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</si>
  <si>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</si>
  <si>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DITATC</t>
  </si>
  <si>
    <t>CBBB</t>
  </si>
  <si>
    <t>CTBB</t>
  </si>
  <si>
    <t>CTWB</t>
  </si>
  <si>
    <t>CWBB</t>
  </si>
  <si>
    <t>TBBB</t>
  </si>
  <si>
    <t>TWBB</t>
  </si>
  <si>
    <t>CGBB</t>
  </si>
  <si>
    <t>CTGB</t>
  </si>
  <si>
    <t>OETOBB</t>
  </si>
  <si>
    <t>OETOSB</t>
  </si>
  <si>
    <t>OICTOB</t>
  </si>
  <si>
    <t>OICTOW</t>
  </si>
  <si>
    <t>OIOBBB</t>
  </si>
  <si>
    <t>OICOBB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</si>
  <si>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</si>
  <si>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</si>
  <si>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</si>
  <si>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</si>
  <si>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</si>
  <si>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</si>
  <si>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</si>
  <si>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CCCCFO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</si>
  <si>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</si>
  <si>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</si>
  <si>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</si>
  <si>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</si>
  <si>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</si>
  <si>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</si>
  <si>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</si>
  <si>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</si>
  <si>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</si>
  <si>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</si>
  <si>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</si>
  <si>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</si>
  <si>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</si>
  <si>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</si>
  <si>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</si>
  <si>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</si>
  <si>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</si>
  <si>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</si>
  <si>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</si>
  <si>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</si>
  <si>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</si>
  <si>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No space, offload, roll-over, port/vessel omission, flight cancellation, overbooking, no empty container, or insufficient truck allocation</t>
  </si>
  <si>
    <t>OICDMG</t>
  </si>
  <si>
    <t>OISCHG</t>
  </si>
  <si>
    <t>TRCDMG</t>
  </si>
  <si>
    <t>TRCAPS</t>
  </si>
  <si>
    <t>HHH</t>
  </si>
  <si>
    <t>LTL</t>
  </si>
  <si>
    <t>TTH</t>
  </si>
  <si>
    <t>PTP</t>
  </si>
  <si>
    <t>XA</t>
  </si>
  <si>
    <t>ABC</t>
  </si>
  <si>
    <t>EFG</t>
  </si>
  <si>
    <t>HIK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</si>
  <si>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</si>
  <si>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</si>
  <si>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</si>
  <si>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</si>
  <si>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</si>
  <si>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</si>
  <si>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</si>
  <si>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</si>
  <si>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</si>
  <si>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</si>
  <si>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</si>
  <si>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</si>
  <si>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</si>
  <si>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</si>
  <si>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</si>
  <si>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</si>
  <si>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</si>
  <si>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</si>
  <si>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</si>
  <si>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</si>
  <si>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</si>
  <si>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</si>
  <si>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</si>
  <si>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</si>
  <si>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</si>
  <si>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</si>
  <si>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</si>
  <si>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</si>
  <si>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</si>
  <si>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</si>
  <si>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</si>
  <si>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</si>
  <si>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</si>
  <si>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</si>
  <si>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</si>
  <si>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</si>
  <si>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</si>
  <si>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</si>
  <si>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</si>
  <si>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</si>
  <si>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</si>
  <si>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</si>
  <si>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</si>
  <si>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</si>
  <si>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</si>
  <si>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</si>
  <si>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</si>
  <si>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</si>
  <si>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FCT</t>
  </si>
  <si>
    <t>OEO</t>
  </si>
  <si>
    <t>OETO</t>
  </si>
  <si>
    <t>OECTOWB</t>
  </si>
  <si>
    <t>OETOS</t>
  </si>
  <si>
    <t>OICTO</t>
  </si>
  <si>
    <t>OICTOWB</t>
  </si>
  <si>
    <t>OIO</t>
  </si>
  <si>
    <t>OICO</t>
  </si>
  <si>
    <t>DECTO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</si>
  <si>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</si>
  <si>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</si>
  <si>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</si>
  <si>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</si>
  <si>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</si>
  <si>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</si>
  <si>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</si>
  <si>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</si>
  <si>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</si>
  <si>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</si>
  <si>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</si>
  <si>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</si>
  <si>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</si>
  <si>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</si>
  <si>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</si>
  <si>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</si>
  <si>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</si>
  <si>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</si>
  <si>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</si>
  <si>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</si>
  <si>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</si>
  <si>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</si>
  <si>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</si>
  <si>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</si>
  <si>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</si>
  <si>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</si>
  <si>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</si>
  <si>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</si>
  <si>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</si>
  <si>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</si>
  <si>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</si>
  <si>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</si>
  <si>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</si>
  <si>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</si>
  <si>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</si>
  <si>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</si>
  <si>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</si>
  <si>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</si>
  <si>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</si>
  <si>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</si>
  <si>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</si>
  <si>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</si>
  <si>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</si>
  <si>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</si>
  <si>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</si>
  <si>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</si>
  <si>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</si>
  <si>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</si>
  <si>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</si>
  <si>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</si>
  <si>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</si>
  <si>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</si>
  <si>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CHDL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</si>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</sst>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37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/>
    <xf numFmtId="0" fontId="14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2" fillId="0" borderId="4" xfId="0" applyFont="1" applyBorder="1" applyAlignment="1">
      <alignment horizontal="left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165" fontId="17" fillId="0" borderId="3" xfId="0" applyNumberFormat="1" applyFont="1" applyBorder="1" applyAlignment="1">
      <alignment horizontal="center" vertical="center"/>
    </xf>
    <xf numFmtId="9" fontId="17" fillId="0" borderId="3" xfId="2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0" fontId="17" fillId="0" borderId="4" xfId="0" applyFont="1" applyBorder="1"/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165" fontId="7" fillId="0" borderId="4" xfId="1" applyNumberFormat="1" applyFont="1" applyFill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1" fontId="0" fillId="0" borderId="4" xfId="0" applyNumberFormat="1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1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387350</xdr:colOff>
          <xdr:row>0</xdr:row>
          <xdr:rowOff>349250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18"/>
  <sheetViews>
    <sheetView zoomScale="85" zoomScaleNormal="85" workbookViewId="0">
      <selection activeCell="A3" sqref="A3:XFD6"/>
    </sheetView>
  </sheetViews>
  <sheetFormatPr defaultColWidth="8.7265625" defaultRowHeight="14.5"/>
  <cols>
    <col min="1" max="1" width="10.81640625" style="35" bestFit="1" customWidth="1"/>
    <col min="2" max="2" width="9" style="35" customWidth="1"/>
    <col min="3" max="4" width="12.81640625" style="45" bestFit="1" customWidth="1"/>
    <col min="5" max="5" width="14.7265625" style="45" bestFit="1" customWidth="1"/>
    <col min="6" max="7" width="9.453125" style="45" bestFit="1" customWidth="1"/>
    <col min="8" max="8" width="11.453125" style="45" bestFit="1" customWidth="1"/>
    <col min="9" max="10" width="12" style="45" bestFit="1" customWidth="1"/>
    <col min="11" max="11" width="13.81640625" style="45" bestFit="1" customWidth="1"/>
    <col min="12" max="12" width="15" style="45" bestFit="1" customWidth="1"/>
    <col min="13" max="13" width="20.1796875" style="45" customWidth="1"/>
    <col min="14" max="14" width="12.7265625" style="45" customWidth="1"/>
    <col min="15" max="15" width="13.81640625" style="45" customWidth="1"/>
    <col min="16" max="16" width="31.1796875" style="35" customWidth="1"/>
    <col min="17" max="16384" width="8.7265625" style="35"/>
  </cols>
  <sheetData>
    <row r="1" spans="1:16" ht="32.5" customHeight="1">
      <c r="A1" s="32" t="s">
        <v>1196</v>
      </c>
      <c r="B1" s="33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  <row r="2" spans="1:16" s="38" customFormat="1" ht="78" customHeight="1">
      <c r="A2" s="36" t="s">
        <v>5</v>
      </c>
      <c r="B2" s="36" t="s">
        <v>6</v>
      </c>
      <c r="C2" s="37" t="s">
        <v>1189</v>
      </c>
      <c r="D2" s="37" t="s">
        <v>1190</v>
      </c>
      <c r="E2" s="37" t="s">
        <v>1195</v>
      </c>
      <c r="F2" s="37" t="s">
        <v>1187</v>
      </c>
      <c r="G2" s="37" t="s">
        <v>1188</v>
      </c>
      <c r="H2" s="37" t="s">
        <v>1194</v>
      </c>
      <c r="I2" s="37" t="s">
        <v>1191</v>
      </c>
      <c r="J2" s="37" t="s">
        <v>1192</v>
      </c>
      <c r="K2" s="37" t="s">
        <v>1193</v>
      </c>
      <c r="L2" s="37" t="s">
        <v>1234</v>
      </c>
      <c r="M2" s="37" t="s">
        <v>1217</v>
      </c>
      <c r="N2" s="37" t="s">
        <v>1229</v>
      </c>
      <c r="O2" s="37" t="s">
        <v>1230</v>
      </c>
      <c r="P2" s="21" t="s">
        <v>1232</v>
      </c>
    </row>
    <row r="3" spans="1:16" s="38" customFormat="1" ht="20.5" customHeight="1">
      <c r="A3" s="39" t="s">
        <v>2</v>
      </c>
      <c r="B3" s="40" t="s">
        <v>1202</v>
      </c>
      <c r="C3" s="39">
        <v>2</v>
      </c>
      <c r="D3" s="39">
        <v>9</v>
      </c>
      <c r="E3" s="41">
        <v>11</v>
      </c>
      <c r="F3" s="39">
        <v>2</v>
      </c>
      <c r="G3" s="39">
        <v>9</v>
      </c>
      <c r="H3" s="41">
        <v>11</v>
      </c>
      <c r="I3" s="39">
        <v>2</v>
      </c>
      <c r="J3" s="125">
        <v>10.8</v>
      </c>
      <c r="K3" s="42">
        <v>12.8</v>
      </c>
      <c r="L3" s="43">
        <v>1504.8</v>
      </c>
      <c r="M3" s="126">
        <v>1805.6833333333334</v>
      </c>
      <c r="N3" s="44">
        <v>1.1636363636363638</v>
      </c>
      <c r="O3" s="42" t="s">
        <v>1331</v>
      </c>
    </row>
    <row r="4" spans="1:16" s="38" customFormat="1" ht="20.5" customHeight="1">
      <c r="A4" s="39" t="s">
        <v>2</v>
      </c>
      <c r="B4" s="40" t="s">
        <v>1203</v>
      </c>
      <c r="C4" s="39">
        <v>2</v>
      </c>
      <c r="D4" s="39">
        <v>9</v>
      </c>
      <c r="E4" s="41">
        <v>11</v>
      </c>
      <c r="F4" s="39">
        <v>2</v>
      </c>
      <c r="G4" s="39">
        <v>9</v>
      </c>
      <c r="H4" s="41">
        <v>11</v>
      </c>
      <c r="I4" s="39">
        <v>2</v>
      </c>
      <c r="J4" s="125">
        <v>9.8699999999999992</v>
      </c>
      <c r="K4" s="42">
        <v>11.87</v>
      </c>
      <c r="L4" s="43">
        <v>1504.8</v>
      </c>
      <c r="M4" s="126">
        <v>1650.7166666666667</v>
      </c>
      <c r="N4" s="44">
        <v>1.0790909090909091</v>
      </c>
      <c r="O4" s="42" t="s">
        <v>1331</v>
      </c>
    </row>
    <row r="5" spans="1:16" s="38" customFormat="1" ht="20.5" customHeight="1">
      <c r="A5" s="39" t="s">
        <v>2</v>
      </c>
      <c r="B5" s="40" t="s">
        <v>1204</v>
      </c>
      <c r="C5" s="39">
        <v>2</v>
      </c>
      <c r="D5" s="39">
        <v>9</v>
      </c>
      <c r="E5" s="41">
        <v>11</v>
      </c>
      <c r="F5" s="39">
        <v>2</v>
      </c>
      <c r="G5" s="39">
        <v>9</v>
      </c>
      <c r="H5" s="41">
        <v>11</v>
      </c>
      <c r="I5" s="39">
        <v>2</v>
      </c>
      <c r="J5" s="125">
        <v>11.18</v>
      </c>
      <c r="K5" s="42">
        <v>13.18</v>
      </c>
      <c r="L5" s="43">
        <v>1504.8</v>
      </c>
      <c r="M5" s="126">
        <v>1869.75</v>
      </c>
      <c r="N5" s="44">
        <v>1.1981818181818182</v>
      </c>
      <c r="O5" s="42" t="s">
        <v>1331</v>
      </c>
    </row>
    <row r="6" spans="1:16" s="38" customFormat="1" ht="20.5" customHeight="1">
      <c r="A6" s="39" t="s">
        <v>2</v>
      </c>
      <c r="B6" s="40" t="s">
        <v>1205</v>
      </c>
      <c r="C6" s="39">
        <v>2</v>
      </c>
      <c r="D6" s="39">
        <v>9</v>
      </c>
      <c r="E6" s="41">
        <v>11</v>
      </c>
      <c r="F6" s="39">
        <v>2</v>
      </c>
      <c r="G6" s="39">
        <v>9</v>
      </c>
      <c r="H6" s="41">
        <v>11</v>
      </c>
      <c r="I6" s="39">
        <v>2</v>
      </c>
      <c r="J6" s="125">
        <v>11.32</v>
      </c>
      <c r="K6" s="42">
        <v>13.32</v>
      </c>
      <c r="L6" s="43">
        <v>1504.8</v>
      </c>
      <c r="M6" s="126">
        <v>1893.0166666666667</v>
      </c>
      <c r="N6" s="44">
        <v>1.2109090909090909</v>
      </c>
      <c r="O6" s="42" t="s">
        <v>1331</v>
      </c>
    </row>
    <row r="7" spans="1:16" s="38" customFormat="1" ht="20.5" customHeight="1">
      <c r="A7" s="40" t="s">
        <v>1</v>
      </c>
      <c r="B7" s="40" t="s">
        <v>1202</v>
      </c>
      <c r="C7" s="40">
        <v>2</v>
      </c>
      <c r="D7" s="40">
        <v>20</v>
      </c>
      <c r="E7" s="42">
        <v>22</v>
      </c>
      <c r="F7" s="40">
        <v>2</v>
      </c>
      <c r="G7" s="40">
        <v>20</v>
      </c>
      <c r="H7" s="41">
        <v>22</v>
      </c>
      <c r="I7" s="40">
        <v>2</v>
      </c>
      <c r="J7" s="42">
        <v>17.5</v>
      </c>
      <c r="K7" s="42">
        <v>19.5</v>
      </c>
      <c r="L7" s="43">
        <v>3344</v>
      </c>
      <c r="M7" s="43">
        <v>3444.32</v>
      </c>
      <c r="N7" s="44">
        <v>0.88636363636363635</v>
      </c>
      <c r="O7" s="42" t="s">
        <v>1343</v>
      </c>
    </row>
    <row r="8" spans="1:16" s="38" customFormat="1" ht="20.5" customHeight="1">
      <c r="A8" s="40" t="s">
        <v>1</v>
      </c>
      <c r="B8" s="40" t="s">
        <v>1203</v>
      </c>
      <c r="C8" s="40">
        <v>2</v>
      </c>
      <c r="D8" s="40">
        <v>20</v>
      </c>
      <c r="E8" s="42">
        <v>22</v>
      </c>
      <c r="F8" s="40">
        <v>2</v>
      </c>
      <c r="G8" s="40">
        <v>20</v>
      </c>
      <c r="H8" s="41">
        <v>22</v>
      </c>
      <c r="I8" s="40">
        <v>2</v>
      </c>
      <c r="J8" s="42">
        <v>17.5</v>
      </c>
      <c r="K8" s="42">
        <v>19.5</v>
      </c>
      <c r="L8" s="43">
        <v>3344</v>
      </c>
      <c r="M8" s="43">
        <v>3444.32</v>
      </c>
      <c r="N8" s="44">
        <v>0.88636363636363635</v>
      </c>
      <c r="O8" s="42" t="s">
        <v>1343</v>
      </c>
    </row>
    <row r="9" spans="1:16" s="38" customFormat="1" ht="20.5" customHeight="1">
      <c r="A9" s="40" t="s">
        <v>1</v>
      </c>
      <c r="B9" s="40" t="s">
        <v>1204</v>
      </c>
      <c r="C9" s="40">
        <v>2</v>
      </c>
      <c r="D9" s="40">
        <v>20</v>
      </c>
      <c r="E9" s="42">
        <v>22</v>
      </c>
      <c r="F9" s="40">
        <v>2</v>
      </c>
      <c r="G9" s="40">
        <v>20</v>
      </c>
      <c r="H9" s="41">
        <v>22</v>
      </c>
      <c r="I9" s="40">
        <v>2</v>
      </c>
      <c r="J9" s="42">
        <v>17.5</v>
      </c>
      <c r="K9" s="42">
        <v>19.5</v>
      </c>
      <c r="L9" s="43">
        <v>3344</v>
      </c>
      <c r="M9" s="43">
        <v>3444.32</v>
      </c>
      <c r="N9" s="44">
        <v>0.88636363636363635</v>
      </c>
      <c r="O9" s="42" t="s">
        <v>1343</v>
      </c>
    </row>
    <row r="10" spans="1:16" s="38" customFormat="1" ht="20.5" customHeight="1">
      <c r="A10" s="40" t="s">
        <v>1</v>
      </c>
      <c r="B10" s="40" t="s">
        <v>1205</v>
      </c>
      <c r="C10" s="40">
        <v>2</v>
      </c>
      <c r="D10" s="40">
        <v>20</v>
      </c>
      <c r="E10" s="42">
        <v>22</v>
      </c>
      <c r="F10" s="40">
        <v>2</v>
      </c>
      <c r="G10" s="40">
        <v>20</v>
      </c>
      <c r="H10" s="41">
        <v>22</v>
      </c>
      <c r="I10" s="40">
        <v>2</v>
      </c>
      <c r="J10" s="42">
        <v>17.5</v>
      </c>
      <c r="K10" s="42">
        <v>19.5</v>
      </c>
      <c r="L10" s="43">
        <v>3344</v>
      </c>
      <c r="M10" s="43">
        <v>3444.32</v>
      </c>
      <c r="N10" s="44">
        <v>0.88636363636363635</v>
      </c>
      <c r="O10" s="42" t="s">
        <v>1343</v>
      </c>
    </row>
    <row r="11" spans="1:16" s="38" customFormat="1" ht="20.5" customHeight="1">
      <c r="A11" s="40" t="s">
        <v>4</v>
      </c>
      <c r="B11" s="40" t="s">
        <v>1202</v>
      </c>
      <c r="C11" s="40">
        <v>2</v>
      </c>
      <c r="D11" s="40">
        <v>15</v>
      </c>
      <c r="E11" s="42">
        <v>17</v>
      </c>
      <c r="F11" s="40">
        <v>2</v>
      </c>
      <c r="G11" s="40">
        <v>15</v>
      </c>
      <c r="H11" s="42">
        <v>17</v>
      </c>
      <c r="I11" s="40">
        <v>2</v>
      </c>
      <c r="J11" s="42">
        <v>14</v>
      </c>
      <c r="K11" s="42">
        <v>16</v>
      </c>
      <c r="L11" s="43">
        <v>2508</v>
      </c>
      <c r="M11" s="43">
        <v>2232.12</v>
      </c>
      <c r="N11" s="44">
        <v>0.94117647058823528</v>
      </c>
      <c r="O11" s="42" t="s">
        <v>1334</v>
      </c>
    </row>
    <row r="12" spans="1:16" s="38" customFormat="1" ht="20.5" customHeight="1">
      <c r="A12" s="40" t="s">
        <v>4</v>
      </c>
      <c r="B12" s="40" t="s">
        <v>1203</v>
      </c>
      <c r="C12" s="40">
        <v>2</v>
      </c>
      <c r="D12" s="40">
        <v>15</v>
      </c>
      <c r="E12" s="42">
        <v>17</v>
      </c>
      <c r="F12" s="40">
        <v>2</v>
      </c>
      <c r="G12" s="40">
        <v>15</v>
      </c>
      <c r="H12" s="42">
        <v>17</v>
      </c>
      <c r="I12" s="40">
        <v>2</v>
      </c>
      <c r="J12" s="42">
        <v>14</v>
      </c>
      <c r="K12" s="42">
        <v>16</v>
      </c>
      <c r="L12" s="43">
        <v>2508</v>
      </c>
      <c r="M12" s="43">
        <v>2232.12</v>
      </c>
      <c r="N12" s="44">
        <v>0.94117647058823528</v>
      </c>
      <c r="O12" s="42" t="s">
        <v>1334</v>
      </c>
    </row>
    <row r="13" spans="1:16" s="38" customFormat="1" ht="20.5" customHeight="1">
      <c r="A13" s="40" t="s">
        <v>4</v>
      </c>
      <c r="B13" s="40" t="s">
        <v>1204</v>
      </c>
      <c r="C13" s="40">
        <v>2</v>
      </c>
      <c r="D13" s="40">
        <v>15</v>
      </c>
      <c r="E13" s="42">
        <v>17</v>
      </c>
      <c r="F13" s="40">
        <v>2</v>
      </c>
      <c r="G13" s="40">
        <v>15</v>
      </c>
      <c r="H13" s="42">
        <v>17</v>
      </c>
      <c r="I13" s="40">
        <v>2</v>
      </c>
      <c r="J13" s="42">
        <v>14</v>
      </c>
      <c r="K13" s="42">
        <v>16</v>
      </c>
      <c r="L13" s="43">
        <v>2508</v>
      </c>
      <c r="M13" s="43">
        <v>2232.12</v>
      </c>
      <c r="N13" s="44">
        <v>0.94117647058823528</v>
      </c>
      <c r="O13" s="42" t="s">
        <v>1334</v>
      </c>
    </row>
    <row r="14" spans="1:16" s="38" customFormat="1" ht="20.5" customHeight="1">
      <c r="A14" s="40" t="s">
        <v>4</v>
      </c>
      <c r="B14" s="40" t="s">
        <v>1205</v>
      </c>
      <c r="C14" s="40">
        <v>2</v>
      </c>
      <c r="D14" s="40">
        <v>15</v>
      </c>
      <c r="E14" s="42">
        <v>17</v>
      </c>
      <c r="F14" s="40">
        <v>2</v>
      </c>
      <c r="G14" s="40">
        <v>15</v>
      </c>
      <c r="H14" s="42">
        <v>17</v>
      </c>
      <c r="I14" s="40">
        <v>2</v>
      </c>
      <c r="J14" s="42">
        <v>14</v>
      </c>
      <c r="K14" s="42">
        <v>16</v>
      </c>
      <c r="L14" s="43">
        <v>2508</v>
      </c>
      <c r="M14" s="43">
        <v>2232.12</v>
      </c>
      <c r="N14" s="44">
        <v>0.94117647058823528</v>
      </c>
      <c r="O14" s="42" t="s">
        <v>1334</v>
      </c>
    </row>
    <row r="15" spans="1:16" s="38" customFormat="1" ht="20.5" customHeight="1">
      <c r="A15" s="40" t="s">
        <v>3</v>
      </c>
      <c r="B15" s="40" t="s">
        <v>1202</v>
      </c>
      <c r="C15" s="40">
        <v>1.3</v>
      </c>
      <c r="D15" s="40">
        <v>17</v>
      </c>
      <c r="E15" s="42">
        <v>18.3</v>
      </c>
      <c r="F15" s="40">
        <v>1.3</v>
      </c>
      <c r="G15" s="40">
        <v>17</v>
      </c>
      <c r="H15" s="42">
        <v>18.3</v>
      </c>
      <c r="I15" s="40">
        <v>1.3</v>
      </c>
      <c r="J15" s="42">
        <v>16.8</v>
      </c>
      <c r="K15" s="42">
        <v>18.100000000000001</v>
      </c>
      <c r="L15" s="43">
        <v>2842.3999999999996</v>
      </c>
      <c r="M15" s="43">
        <v>2785.5519999999997</v>
      </c>
      <c r="N15" s="44">
        <v>0.98907103825136611</v>
      </c>
      <c r="O15" s="42" t="s">
        <v>1332</v>
      </c>
    </row>
    <row r="16" spans="1:16" s="38" customFormat="1" ht="20.5" customHeight="1">
      <c r="A16" s="40" t="s">
        <v>3</v>
      </c>
      <c r="B16" s="40" t="s">
        <v>1203</v>
      </c>
      <c r="C16" s="40">
        <v>1.3</v>
      </c>
      <c r="D16" s="40">
        <v>17</v>
      </c>
      <c r="E16" s="42">
        <v>18.3</v>
      </c>
      <c r="F16" s="40">
        <v>1.3</v>
      </c>
      <c r="G16" s="40">
        <v>17</v>
      </c>
      <c r="H16" s="42">
        <v>18.3</v>
      </c>
      <c r="I16" s="40">
        <v>1.3</v>
      </c>
      <c r="J16" s="42">
        <v>16.8</v>
      </c>
      <c r="K16" s="42">
        <v>18.100000000000001</v>
      </c>
      <c r="L16" s="43">
        <v>2842.3999999999996</v>
      </c>
      <c r="M16" s="43">
        <v>2785.5519999999997</v>
      </c>
      <c r="N16" s="44">
        <v>0.98907103825136611</v>
      </c>
      <c r="O16" s="42" t="s">
        <v>1332</v>
      </c>
    </row>
    <row r="17" spans="1:15" s="38" customFormat="1" ht="20.5" customHeight="1">
      <c r="A17" s="40" t="s">
        <v>3</v>
      </c>
      <c r="B17" s="40" t="s">
        <v>1204</v>
      </c>
      <c r="C17" s="40">
        <v>1.3</v>
      </c>
      <c r="D17" s="40">
        <v>17</v>
      </c>
      <c r="E17" s="42">
        <v>18.3</v>
      </c>
      <c r="F17" s="40">
        <v>1.3</v>
      </c>
      <c r="G17" s="40">
        <v>17</v>
      </c>
      <c r="H17" s="42">
        <v>18.3</v>
      </c>
      <c r="I17" s="40">
        <v>1.3</v>
      </c>
      <c r="J17" s="42">
        <v>16.8</v>
      </c>
      <c r="K17" s="42">
        <v>18.100000000000001</v>
      </c>
      <c r="L17" s="43">
        <v>2842.3999999999996</v>
      </c>
      <c r="M17" s="43">
        <v>2785.5519999999997</v>
      </c>
      <c r="N17" s="44">
        <v>0.98907103825136611</v>
      </c>
      <c r="O17" s="42" t="s">
        <v>1332</v>
      </c>
    </row>
    <row r="18" spans="1:15" s="38" customFormat="1" ht="20.5" customHeight="1">
      <c r="A18" s="40" t="s">
        <v>3</v>
      </c>
      <c r="B18" s="40" t="s">
        <v>1205</v>
      </c>
      <c r="C18" s="40">
        <v>1.3</v>
      </c>
      <c r="D18" s="40">
        <v>17</v>
      </c>
      <c r="E18" s="42">
        <v>18.3</v>
      </c>
      <c r="F18" s="40">
        <v>1.3</v>
      </c>
      <c r="G18" s="40">
        <v>17</v>
      </c>
      <c r="H18" s="42">
        <v>18.3</v>
      </c>
      <c r="I18" s="40">
        <v>1.3</v>
      </c>
      <c r="J18" s="42">
        <v>16.8</v>
      </c>
      <c r="K18" s="42">
        <v>18.100000000000001</v>
      </c>
      <c r="L18" s="43">
        <v>2842.3999999999996</v>
      </c>
      <c r="M18" s="43">
        <v>2785.5519999999997</v>
      </c>
      <c r="N18" s="44">
        <v>0.98907103825136611</v>
      </c>
      <c r="O18" s="42" t="s">
        <v>1332</v>
      </c>
    </row>
  </sheetData>
  <phoneticPr fontId="3" type="noConversion"/>
  <conditionalFormatting sqref="O19:O671">
    <cfRule type="expression" dxfId="148" priority="33">
      <formula>$O19="Less Load"</formula>
    </cfRule>
    <cfRule type="expression" dxfId="147" priority="34">
      <formula>$O19="Balanced"</formula>
    </cfRule>
    <cfRule type="expression" dxfId="146" priority="35">
      <formula>$O19="High Load"</formula>
    </cfRule>
    <cfRule type="expression" dxfId="145" priority="36">
      <formula>$O19="Overload"</formula>
    </cfRule>
  </conditionalFormatting>
  <conditionalFormatting sqref="O3:O6">
    <cfRule type="expression" dxfId="73" priority="13">
      <formula>$O3="Less Load"</formula>
    </cfRule>
    <cfRule type="expression" dxfId="72" priority="14">
      <formula>$O3="Balanced"</formula>
    </cfRule>
    <cfRule type="expression" dxfId="71" priority="15">
      <formula>$O3="High Load"</formula>
    </cfRule>
    <cfRule type="expression" dxfId="70" priority="16">
      <formula>$O3="Overload"</formula>
    </cfRule>
  </conditionalFormatting>
  <conditionalFormatting sqref="O7:O10">
    <cfRule type="expression" dxfId="45" priority="9">
      <formula>$O7="Less Load"</formula>
    </cfRule>
    <cfRule type="expression" dxfId="44" priority="10">
      <formula>$O7="Balanced"</formula>
    </cfRule>
    <cfRule type="expression" dxfId="43" priority="11">
      <formula>$O7="High Load"</formula>
    </cfRule>
    <cfRule type="expression" dxfId="42" priority="12">
      <formula>$O7="Overload"</formula>
    </cfRule>
  </conditionalFormatting>
  <conditionalFormatting sqref="O11:O14">
    <cfRule type="expression" dxfId="30" priority="5">
      <formula>$O11="Less Load"</formula>
    </cfRule>
    <cfRule type="expression" dxfId="29" priority="6">
      <formula>$O11="Balanced"</formula>
    </cfRule>
    <cfRule type="expression" dxfId="28" priority="7">
      <formula>$O11="High Load"</formula>
    </cfRule>
    <cfRule type="expression" dxfId="27" priority="8">
      <formula>$O11="Overload"</formula>
    </cfRule>
  </conditionalFormatting>
  <conditionalFormatting sqref="O15:O18">
    <cfRule type="expression" dxfId="13" priority="1">
      <formula>$O15="Less Load"</formula>
    </cfRule>
    <cfRule type="expression" dxfId="12" priority="2">
      <formula>$O15="Balanced"</formula>
    </cfRule>
    <cfRule type="expression" dxfId="11" priority="3">
      <formula>$O15="High Load"</formula>
    </cfRule>
    <cfRule type="expression" dxfId="10" priority="4">
      <formula>$O15="Overload"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387350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H74"/>
  <sheetViews>
    <sheetView tabSelected="1" zoomScale="85" zoomScaleNormal="85" workbookViewId="0">
      <selection activeCell="D6" sqref="D6"/>
    </sheetView>
  </sheetViews>
  <sheetFormatPr defaultColWidth="8.7265625" defaultRowHeight="14.5"/>
  <cols>
    <col min="1" max="1" width="10.81640625" style="35" bestFit="1" customWidth="1"/>
    <col min="2" max="2" width="9" style="35" customWidth="1"/>
    <col min="3" max="3" width="15.54296875" style="88" customWidth="1"/>
    <col min="4" max="5" width="16.81640625" style="45" customWidth="1"/>
    <col min="6" max="6" width="19" style="45" customWidth="1"/>
    <col min="7" max="7" width="16.81640625" style="45" customWidth="1"/>
    <col min="8" max="8" width="26.54296875" style="35" bestFit="1" customWidth="1"/>
    <col min="9" max="16384" width="8.7265625" style="35"/>
  </cols>
  <sheetData>
    <row r="1" spans="1:8" ht="32.5" customHeight="1">
      <c r="A1" s="32" t="s">
        <v>1228</v>
      </c>
      <c r="B1" s="33"/>
      <c r="C1" s="84"/>
      <c r="D1" s="34"/>
      <c r="E1" s="34"/>
      <c r="F1" s="34"/>
      <c r="G1" s="34"/>
    </row>
    <row r="2" spans="1:8" s="38" customFormat="1" ht="78" customHeight="1">
      <c r="A2" s="36" t="s">
        <v>5</v>
      </c>
      <c r="B2" s="36" t="s">
        <v>6</v>
      </c>
      <c r="C2" s="37" t="s">
        <v>1218</v>
      </c>
      <c r="D2" s="37" t="s">
        <v>1235</v>
      </c>
      <c r="E2" s="37" t="s">
        <v>1236</v>
      </c>
      <c r="F2" s="37" t="s">
        <v>1237</v>
      </c>
      <c r="G2" s="37" t="s">
        <v>1231</v>
      </c>
      <c r="H2" s="21" t="s">
        <v>1232</v>
      </c>
    </row>
    <row r="3" spans="1:8" s="38" customFormat="1" ht="20.5" customHeight="1">
      <c r="A3" s="40" t="s">
        <v>2</v>
      </c>
      <c r="B3" s="40" t="s">
        <v>1202</v>
      </c>
      <c r="C3" s="27" t="s">
        <v>1221</v>
      </c>
      <c r="D3" s="43">
        <v>167.2</v>
      </c>
      <c r="E3" s="31">
        <v>186</v>
      </c>
      <c r="F3" s="44">
        <v>1.1124401913875599</v>
      </c>
      <c r="G3" s="42" t="s">
        <v>1331</v>
      </c>
      <c r="H3" s="20"/>
    </row>
    <row r="4" spans="1:8" s="38" customFormat="1" ht="20.5" customHeight="1">
      <c r="A4" s="40" t="s">
        <v>2</v>
      </c>
      <c r="B4" s="40" t="s">
        <v>1202</v>
      </c>
      <c r="C4" s="27" t="s">
        <v>1223</v>
      </c>
      <c r="D4" s="43">
        <v>167.2</v>
      </c>
      <c r="E4" s="31">
        <v>108</v>
      </c>
      <c r="F4" s="44">
        <v>0.64593301435406703</v>
      </c>
      <c r="G4" s="42" t="s">
        <v>1333</v>
      </c>
      <c r="H4" s="20"/>
    </row>
    <row r="5" spans="1:8" s="38" customFormat="1" ht="20.5" customHeight="1">
      <c r="A5" s="40" t="s">
        <v>2</v>
      </c>
      <c r="B5" s="40" t="s">
        <v>1202</v>
      </c>
      <c r="C5" s="27" t="s">
        <v>1219</v>
      </c>
      <c r="D5" s="43">
        <v>167.2</v>
      </c>
      <c r="E5" s="31">
        <v>337</v>
      </c>
      <c r="F5" s="44">
        <v>2.0155502392344498</v>
      </c>
      <c r="G5" s="42" t="s">
        <v>1331</v>
      </c>
      <c r="H5" s="20"/>
    </row>
    <row r="6" spans="1:8" s="38" customFormat="1" ht="20.5" customHeight="1">
      <c r="A6" s="40" t="s">
        <v>2</v>
      </c>
      <c r="B6" s="40" t="s">
        <v>1202</v>
      </c>
      <c r="C6" s="27" t="s">
        <v>1226</v>
      </c>
      <c r="D6" s="43">
        <v>167.2</v>
      </c>
      <c r="E6" s="31">
        <v>321</v>
      </c>
      <c r="F6" s="44">
        <v>1.9198564593301437</v>
      </c>
      <c r="G6" s="42" t="s">
        <v>1331</v>
      </c>
    </row>
    <row r="7" spans="1:8" s="38" customFormat="1" ht="20.5" customHeight="1">
      <c r="A7" s="40" t="s">
        <v>2</v>
      </c>
      <c r="B7" s="40" t="s">
        <v>1202</v>
      </c>
      <c r="C7" s="27" t="s">
        <v>1225</v>
      </c>
      <c r="D7" s="43">
        <v>167.2</v>
      </c>
      <c r="E7" s="31">
        <v>129</v>
      </c>
      <c r="F7" s="44">
        <v>0.77153110047846896</v>
      </c>
      <c r="G7" s="42" t="s">
        <v>1333</v>
      </c>
    </row>
    <row r="8" spans="1:8" s="38" customFormat="1" ht="20.5" customHeight="1">
      <c r="A8" s="40" t="s">
        <v>2</v>
      </c>
      <c r="B8" s="40" t="s">
        <v>1202</v>
      </c>
      <c r="C8" s="27" t="s">
        <v>1224</v>
      </c>
      <c r="D8" s="43">
        <v>167.2</v>
      </c>
      <c r="E8" s="31">
        <v>128</v>
      </c>
      <c r="F8" s="44">
        <v>0.76555023923444976</v>
      </c>
      <c r="G8" s="42" t="s">
        <v>1333</v>
      </c>
    </row>
    <row r="9" spans="1:8" s="38" customFormat="1" ht="20.5" customHeight="1">
      <c r="A9" s="40" t="s">
        <v>2</v>
      </c>
      <c r="B9" s="40" t="s">
        <v>1202</v>
      </c>
      <c r="C9" s="27" t="s">
        <v>1222</v>
      </c>
      <c r="D9" s="43">
        <v>167.2</v>
      </c>
      <c r="E9" s="31">
        <v>149</v>
      </c>
      <c r="F9" s="44">
        <v>0.89114832535885169</v>
      </c>
      <c r="G9" s="42" t="s">
        <v>1333</v>
      </c>
    </row>
    <row r="10" spans="1:8" s="38" customFormat="1" ht="20.5" customHeight="1">
      <c r="A10" s="40" t="s">
        <v>2</v>
      </c>
      <c r="B10" s="40" t="s">
        <v>1202</v>
      </c>
      <c r="C10" s="27" t="s">
        <v>1227</v>
      </c>
      <c r="D10" s="43">
        <v>167.2</v>
      </c>
      <c r="E10" s="31">
        <v>175</v>
      </c>
      <c r="F10" s="44">
        <v>1.0466507177033493</v>
      </c>
      <c r="G10" s="42" t="s">
        <v>1331</v>
      </c>
    </row>
    <row r="11" spans="1:8" s="38" customFormat="1" ht="20.5" customHeight="1">
      <c r="A11" s="40" t="s">
        <v>2</v>
      </c>
      <c r="B11" s="40" t="s">
        <v>1202</v>
      </c>
      <c r="C11" s="27" t="s">
        <v>1220</v>
      </c>
      <c r="D11" s="43">
        <v>167.2</v>
      </c>
      <c r="E11" s="31">
        <v>303</v>
      </c>
      <c r="F11" s="44">
        <v>1.8122009569377993</v>
      </c>
      <c r="G11" s="42" t="s">
        <v>1331</v>
      </c>
    </row>
    <row r="12" spans="1:8" s="38" customFormat="1" ht="20.5" customHeight="1">
      <c r="A12" s="40" t="s">
        <v>2</v>
      </c>
      <c r="B12" s="40" t="s">
        <v>1203</v>
      </c>
      <c r="C12" s="27" t="s">
        <v>1221</v>
      </c>
      <c r="D12" s="43">
        <v>167.2</v>
      </c>
      <c r="E12" s="42">
        <v>178</v>
      </c>
      <c r="F12" s="44">
        <v>1.0645933014354068</v>
      </c>
      <c r="G12" s="42" t="s">
        <v>1331</v>
      </c>
    </row>
    <row r="13" spans="1:8" s="38" customFormat="1" ht="20.5" customHeight="1">
      <c r="A13" s="40" t="s">
        <v>2</v>
      </c>
      <c r="B13" s="40" t="s">
        <v>1203</v>
      </c>
      <c r="C13" s="27" t="s">
        <v>1223</v>
      </c>
      <c r="D13" s="43">
        <v>167.2</v>
      </c>
      <c r="E13" s="42">
        <v>107</v>
      </c>
      <c r="F13" s="44">
        <v>0.63995215311004794</v>
      </c>
      <c r="G13" s="42" t="s">
        <v>1333</v>
      </c>
    </row>
    <row r="14" spans="1:8" s="38" customFormat="1" ht="20.5" customHeight="1">
      <c r="A14" s="40" t="s">
        <v>2</v>
      </c>
      <c r="B14" s="40" t="s">
        <v>1203</v>
      </c>
      <c r="C14" s="27" t="s">
        <v>1219</v>
      </c>
      <c r="D14" s="43">
        <v>167.2</v>
      </c>
      <c r="E14" s="42">
        <v>314</v>
      </c>
      <c r="F14" s="44">
        <v>1.8779904306220097</v>
      </c>
      <c r="G14" s="42" t="s">
        <v>1331</v>
      </c>
    </row>
    <row r="15" spans="1:8" s="38" customFormat="1" ht="20.5" customHeight="1">
      <c r="A15" s="40" t="s">
        <v>2</v>
      </c>
      <c r="B15" s="40" t="s">
        <v>1203</v>
      </c>
      <c r="C15" s="27" t="s">
        <v>1226</v>
      </c>
      <c r="D15" s="43">
        <v>167.2</v>
      </c>
      <c r="E15" s="42">
        <v>205</v>
      </c>
      <c r="F15" s="44">
        <v>1.2260765550239234</v>
      </c>
      <c r="G15" s="42" t="s">
        <v>1331</v>
      </c>
    </row>
    <row r="16" spans="1:8" s="38" customFormat="1" ht="20.5" customHeight="1">
      <c r="A16" s="40" t="s">
        <v>2</v>
      </c>
      <c r="B16" s="40" t="s">
        <v>1203</v>
      </c>
      <c r="C16" s="27" t="s">
        <v>1225</v>
      </c>
      <c r="D16" s="43">
        <v>167.2</v>
      </c>
      <c r="E16" s="42">
        <v>139</v>
      </c>
      <c r="F16" s="44">
        <v>0.83133971291866038</v>
      </c>
      <c r="G16" s="42" t="s">
        <v>1333</v>
      </c>
    </row>
    <row r="17" spans="1:7" s="38" customFormat="1" ht="20.5" customHeight="1">
      <c r="A17" s="40" t="s">
        <v>2</v>
      </c>
      <c r="B17" s="40" t="s">
        <v>1203</v>
      </c>
      <c r="C17" s="27" t="s">
        <v>1224</v>
      </c>
      <c r="D17" s="43">
        <v>167.2</v>
      </c>
      <c r="E17" s="42">
        <v>127</v>
      </c>
      <c r="F17" s="44">
        <v>0.75956937799043067</v>
      </c>
      <c r="G17" s="42" t="s">
        <v>1333</v>
      </c>
    </row>
    <row r="18" spans="1:7" s="38" customFormat="1" ht="20.5" customHeight="1">
      <c r="A18" s="40" t="s">
        <v>2</v>
      </c>
      <c r="B18" s="40" t="s">
        <v>1203</v>
      </c>
      <c r="C18" s="27" t="s">
        <v>1222</v>
      </c>
      <c r="D18" s="43">
        <v>167.2</v>
      </c>
      <c r="E18" s="42">
        <v>157</v>
      </c>
      <c r="F18" s="44">
        <v>0.93899521531100483</v>
      </c>
      <c r="G18" s="42" t="s">
        <v>1334</v>
      </c>
    </row>
    <row r="19" spans="1:7" s="38" customFormat="1" ht="20.5" customHeight="1">
      <c r="A19" s="40" t="s">
        <v>2</v>
      </c>
      <c r="B19" s="40" t="s">
        <v>1203</v>
      </c>
      <c r="C19" s="27" t="s">
        <v>1227</v>
      </c>
      <c r="D19" s="43">
        <v>167.2</v>
      </c>
      <c r="E19" s="42">
        <v>171</v>
      </c>
      <c r="F19" s="44">
        <v>1.0227272727272727</v>
      </c>
      <c r="G19" s="42" t="s">
        <v>1331</v>
      </c>
    </row>
    <row r="20" spans="1:7" s="38" customFormat="1" ht="20.5" customHeight="1">
      <c r="A20" s="40" t="s">
        <v>2</v>
      </c>
      <c r="B20" s="40" t="s">
        <v>1203</v>
      </c>
      <c r="C20" s="27" t="s">
        <v>1220</v>
      </c>
      <c r="D20" s="43">
        <v>167.2</v>
      </c>
      <c r="E20" s="42">
        <v>280</v>
      </c>
      <c r="F20" s="44">
        <v>1.6746411483253589</v>
      </c>
      <c r="G20" s="42" t="s">
        <v>1331</v>
      </c>
    </row>
    <row r="21" spans="1:7" s="38" customFormat="1" ht="20.5" customHeight="1">
      <c r="A21" s="40" t="s">
        <v>2</v>
      </c>
      <c r="B21" s="40" t="s">
        <v>1204</v>
      </c>
      <c r="C21" s="27" t="s">
        <v>1221</v>
      </c>
      <c r="D21" s="43">
        <v>167.2</v>
      </c>
      <c r="E21" s="42">
        <v>184</v>
      </c>
      <c r="F21" s="44">
        <v>1.1004784688995215</v>
      </c>
      <c r="G21" s="42" t="s">
        <v>1331</v>
      </c>
    </row>
    <row r="22" spans="1:7" s="38" customFormat="1" ht="20.5" customHeight="1">
      <c r="A22" s="40" t="s">
        <v>2</v>
      </c>
      <c r="B22" s="40" t="s">
        <v>1204</v>
      </c>
      <c r="C22" s="27" t="s">
        <v>1223</v>
      </c>
      <c r="D22" s="43">
        <v>167.2</v>
      </c>
      <c r="E22" s="42">
        <v>125</v>
      </c>
      <c r="F22" s="44">
        <v>0.74760765550239239</v>
      </c>
      <c r="G22" s="42" t="s">
        <v>1333</v>
      </c>
    </row>
    <row r="23" spans="1:7" s="38" customFormat="1" ht="20.5" customHeight="1">
      <c r="A23" s="40" t="s">
        <v>2</v>
      </c>
      <c r="B23" s="40" t="s">
        <v>1204</v>
      </c>
      <c r="C23" s="27" t="s">
        <v>1219</v>
      </c>
      <c r="D23" s="43">
        <v>167.2</v>
      </c>
      <c r="E23" s="42">
        <v>377</v>
      </c>
      <c r="F23" s="44">
        <v>2.2547846889952154</v>
      </c>
      <c r="G23" s="42" t="s">
        <v>1331</v>
      </c>
    </row>
    <row r="24" spans="1:7" s="38" customFormat="1" ht="20.5" customHeight="1">
      <c r="A24" s="40" t="s">
        <v>2</v>
      </c>
      <c r="B24" s="40" t="s">
        <v>1204</v>
      </c>
      <c r="C24" s="27" t="s">
        <v>1226</v>
      </c>
      <c r="D24" s="43">
        <v>167.2</v>
      </c>
      <c r="E24" s="42">
        <v>237</v>
      </c>
      <c r="F24" s="44">
        <v>1.417464114832536</v>
      </c>
      <c r="G24" s="42" t="s">
        <v>1331</v>
      </c>
    </row>
    <row r="25" spans="1:7" s="38" customFormat="1" ht="20.5" customHeight="1">
      <c r="A25" s="40" t="s">
        <v>2</v>
      </c>
      <c r="B25" s="40" t="s">
        <v>1204</v>
      </c>
      <c r="C25" s="27" t="s">
        <v>1225</v>
      </c>
      <c r="D25" s="43">
        <v>167.2</v>
      </c>
      <c r="E25" s="42">
        <v>119</v>
      </c>
      <c r="F25" s="44">
        <v>0.71172248803827753</v>
      </c>
      <c r="G25" s="42" t="s">
        <v>1333</v>
      </c>
    </row>
    <row r="26" spans="1:7" s="38" customFormat="1" ht="20.5" customHeight="1">
      <c r="A26" s="40" t="s">
        <v>2</v>
      </c>
      <c r="B26" s="40" t="s">
        <v>1204</v>
      </c>
      <c r="C26" s="27" t="s">
        <v>1224</v>
      </c>
      <c r="D26" s="43">
        <v>167.2</v>
      </c>
      <c r="E26" s="42">
        <v>129</v>
      </c>
      <c r="F26" s="44">
        <v>0.77153110047846896</v>
      </c>
      <c r="G26" s="42" t="s">
        <v>1333</v>
      </c>
    </row>
    <row r="27" spans="1:7" s="38" customFormat="1" ht="20.5" customHeight="1">
      <c r="A27" s="40" t="s">
        <v>2</v>
      </c>
      <c r="B27" s="40" t="s">
        <v>1204</v>
      </c>
      <c r="C27" s="27" t="s">
        <v>1222</v>
      </c>
      <c r="D27" s="43">
        <v>167.2</v>
      </c>
      <c r="E27" s="42">
        <v>180</v>
      </c>
      <c r="F27" s="44">
        <v>1.0765550239234452</v>
      </c>
      <c r="G27" s="42" t="s">
        <v>1331</v>
      </c>
    </row>
    <row r="28" spans="1:7" s="38" customFormat="1" ht="20.5" customHeight="1">
      <c r="A28" s="40" t="s">
        <v>2</v>
      </c>
      <c r="B28" s="40" t="s">
        <v>1204</v>
      </c>
      <c r="C28" s="27" t="s">
        <v>1227</v>
      </c>
      <c r="D28" s="43">
        <v>167.2</v>
      </c>
      <c r="E28" s="42">
        <v>177</v>
      </c>
      <c r="F28" s="44">
        <v>1.0586124401913877</v>
      </c>
      <c r="G28" s="42" t="s">
        <v>1331</v>
      </c>
    </row>
    <row r="29" spans="1:7" s="38" customFormat="1" ht="20.5" customHeight="1">
      <c r="A29" s="40" t="s">
        <v>2</v>
      </c>
      <c r="B29" s="40" t="s">
        <v>1204</v>
      </c>
      <c r="C29" s="27" t="s">
        <v>1220</v>
      </c>
      <c r="D29" s="43">
        <v>167.2</v>
      </c>
      <c r="E29" s="42">
        <v>367</v>
      </c>
      <c r="F29" s="44">
        <v>2.1949760765550241</v>
      </c>
      <c r="G29" s="42" t="s">
        <v>1331</v>
      </c>
    </row>
    <row r="30" spans="1:7" s="38" customFormat="1" ht="20.5" customHeight="1">
      <c r="A30" s="40" t="s">
        <v>2</v>
      </c>
      <c r="B30" s="40" t="s">
        <v>1205</v>
      </c>
      <c r="C30" s="27" t="s">
        <v>1221</v>
      </c>
      <c r="D30" s="43">
        <v>167.2</v>
      </c>
      <c r="E30" s="42">
        <v>186</v>
      </c>
      <c r="F30" s="44">
        <v>1.1124401913875599</v>
      </c>
      <c r="G30" s="42" t="s">
        <v>1331</v>
      </c>
    </row>
    <row r="31" spans="1:7" s="38" customFormat="1" ht="20.5" customHeight="1">
      <c r="A31" s="40" t="s">
        <v>2</v>
      </c>
      <c r="B31" s="40" t="s">
        <v>1205</v>
      </c>
      <c r="C31" s="27" t="s">
        <v>1223</v>
      </c>
      <c r="D31" s="43">
        <v>167.2</v>
      </c>
      <c r="E31" s="42">
        <v>103</v>
      </c>
      <c r="F31" s="44">
        <v>0.61602870813397137</v>
      </c>
      <c r="G31" s="42" t="s">
        <v>1333</v>
      </c>
    </row>
    <row r="32" spans="1:7" s="38" customFormat="1" ht="20.5" customHeight="1">
      <c r="A32" s="40" t="s">
        <v>2</v>
      </c>
      <c r="B32" s="40" t="s">
        <v>1205</v>
      </c>
      <c r="C32" s="27" t="s">
        <v>1219</v>
      </c>
      <c r="D32" s="43">
        <v>167.2</v>
      </c>
      <c r="E32" s="42">
        <v>426</v>
      </c>
      <c r="F32" s="44">
        <v>2.5478468899521531</v>
      </c>
      <c r="G32" s="42" t="s">
        <v>1331</v>
      </c>
    </row>
    <row r="33" spans="1:7" s="38" customFormat="1" ht="20.5" customHeight="1">
      <c r="A33" s="40" t="s">
        <v>2</v>
      </c>
      <c r="B33" s="40" t="s">
        <v>1205</v>
      </c>
      <c r="C33" s="27" t="s">
        <v>1226</v>
      </c>
      <c r="D33" s="43">
        <v>167.2</v>
      </c>
      <c r="E33" s="42">
        <v>247</v>
      </c>
      <c r="F33" s="44">
        <v>1.4772727272727273</v>
      </c>
      <c r="G33" s="42" t="s">
        <v>1331</v>
      </c>
    </row>
    <row r="34" spans="1:7" s="38" customFormat="1" ht="20.5" customHeight="1">
      <c r="A34" s="40" t="s">
        <v>2</v>
      </c>
      <c r="B34" s="40" t="s">
        <v>1205</v>
      </c>
      <c r="C34" s="27" t="s">
        <v>1225</v>
      </c>
      <c r="D34" s="43">
        <v>167.2</v>
      </c>
      <c r="E34" s="42">
        <v>136</v>
      </c>
      <c r="F34" s="44">
        <v>0.8133971291866029</v>
      </c>
      <c r="G34" s="42" t="s">
        <v>1333</v>
      </c>
    </row>
    <row r="35" spans="1:7" s="38" customFormat="1" ht="20.5" customHeight="1">
      <c r="A35" s="40" t="s">
        <v>2</v>
      </c>
      <c r="B35" s="40" t="s">
        <v>1205</v>
      </c>
      <c r="C35" s="27" t="s">
        <v>1224</v>
      </c>
      <c r="D35" s="43">
        <v>167.2</v>
      </c>
      <c r="E35" s="42">
        <v>119</v>
      </c>
      <c r="F35" s="44">
        <v>0.71172248803827753</v>
      </c>
      <c r="G35" s="42" t="s">
        <v>1333</v>
      </c>
    </row>
    <row r="36" spans="1:7" s="38" customFormat="1" ht="20.5" customHeight="1">
      <c r="A36" s="40" t="s">
        <v>2</v>
      </c>
      <c r="B36" s="40" t="s">
        <v>1205</v>
      </c>
      <c r="C36" s="27" t="s">
        <v>1222</v>
      </c>
      <c r="D36" s="43">
        <v>167.2</v>
      </c>
      <c r="E36" s="42">
        <v>206</v>
      </c>
      <c r="F36" s="44">
        <v>1.2320574162679427</v>
      </c>
      <c r="G36" s="42" t="s">
        <v>1331</v>
      </c>
    </row>
    <row r="37" spans="1:7" s="38" customFormat="1" ht="20.5" customHeight="1">
      <c r="A37" s="40" t="s">
        <v>2</v>
      </c>
      <c r="B37" s="40" t="s">
        <v>1205</v>
      </c>
      <c r="C37" s="27" t="s">
        <v>1227</v>
      </c>
      <c r="D37" s="43">
        <v>167.2</v>
      </c>
      <c r="E37" s="42">
        <v>186</v>
      </c>
      <c r="F37" s="44">
        <v>1.1124401913875599</v>
      </c>
      <c r="G37" s="42" t="s">
        <v>1331</v>
      </c>
    </row>
    <row r="38" spans="1:7" s="38" customFormat="1" ht="20.5" customHeight="1">
      <c r="A38" s="40" t="s">
        <v>2</v>
      </c>
      <c r="B38" s="40" t="s">
        <v>1205</v>
      </c>
      <c r="C38" s="27" t="s">
        <v>1220</v>
      </c>
      <c r="D38" s="43">
        <v>167.2</v>
      </c>
      <c r="E38" s="42">
        <v>310</v>
      </c>
      <c r="F38" s="44">
        <v>1.8540669856459331</v>
      </c>
      <c r="G38" s="42" t="s">
        <v>1331</v>
      </c>
    </row>
    <row r="39" spans="1:7">
      <c r="A39" s="40" t="s">
        <v>1</v>
      </c>
      <c r="B39" s="40" t="s">
        <v>1202</v>
      </c>
      <c r="C39" s="27" t="s">
        <v>1312</v>
      </c>
      <c r="D39" s="43">
        <v>167.2</v>
      </c>
      <c r="E39" s="31">
        <v>161</v>
      </c>
      <c r="F39" s="44">
        <v>0.9629186602870814</v>
      </c>
      <c r="G39" s="42" t="s">
        <v>1332</v>
      </c>
    </row>
    <row r="40" spans="1:7">
      <c r="A40" s="40" t="s">
        <v>1</v>
      </c>
      <c r="B40" s="40" t="s">
        <v>1202</v>
      </c>
      <c r="C40" s="27" t="s">
        <v>1313</v>
      </c>
      <c r="D40" s="43">
        <v>167.2</v>
      </c>
      <c r="E40" s="31">
        <v>96</v>
      </c>
      <c r="F40" s="44">
        <v>0.57416267942583732</v>
      </c>
      <c r="G40" s="42" t="s">
        <v>1333</v>
      </c>
    </row>
    <row r="41" spans="1:7">
      <c r="A41" s="40" t="s">
        <v>1</v>
      </c>
      <c r="B41" s="40" t="s">
        <v>1202</v>
      </c>
      <c r="C41" s="27" t="s">
        <v>1314</v>
      </c>
      <c r="D41" s="43">
        <v>167.2</v>
      </c>
      <c r="E41" s="31">
        <v>335</v>
      </c>
      <c r="F41" s="44">
        <v>2.0035885167464116</v>
      </c>
      <c r="G41" s="42" t="s">
        <v>1331</v>
      </c>
    </row>
    <row r="42" spans="1:7">
      <c r="A42" s="40" t="s">
        <v>1</v>
      </c>
      <c r="B42" s="40" t="s">
        <v>1203</v>
      </c>
      <c r="C42" s="27" t="s">
        <v>1312</v>
      </c>
      <c r="D42" s="43">
        <v>167.2</v>
      </c>
      <c r="E42" s="42">
        <v>128</v>
      </c>
      <c r="F42" s="44">
        <v>0.76555023923444976</v>
      </c>
      <c r="G42" s="42" t="s">
        <v>1333</v>
      </c>
    </row>
    <row r="43" spans="1:7">
      <c r="A43" s="40" t="s">
        <v>1</v>
      </c>
      <c r="B43" s="40" t="s">
        <v>1203</v>
      </c>
      <c r="C43" s="27" t="s">
        <v>1313</v>
      </c>
      <c r="D43" s="43">
        <v>167.2</v>
      </c>
      <c r="E43" s="42">
        <v>111</v>
      </c>
      <c r="F43" s="44">
        <v>0.6638755980861244</v>
      </c>
      <c r="G43" s="42" t="s">
        <v>1333</v>
      </c>
    </row>
    <row r="44" spans="1:7">
      <c r="A44" s="40" t="s">
        <v>1</v>
      </c>
      <c r="B44" s="40" t="s">
        <v>1203</v>
      </c>
      <c r="C44" s="27" t="s">
        <v>1314</v>
      </c>
      <c r="D44" s="43">
        <v>167.2</v>
      </c>
      <c r="E44" s="42">
        <v>201</v>
      </c>
      <c r="F44" s="44">
        <v>1.2021531100478469</v>
      </c>
      <c r="G44" s="42" t="s">
        <v>1331</v>
      </c>
    </row>
    <row r="45" spans="1:7">
      <c r="A45" s="40" t="s">
        <v>1</v>
      </c>
      <c r="B45" s="40" t="s">
        <v>1204</v>
      </c>
      <c r="C45" s="27" t="s">
        <v>1312</v>
      </c>
      <c r="D45" s="43">
        <v>167.2</v>
      </c>
      <c r="E45" s="31">
        <v>161</v>
      </c>
      <c r="F45" s="44">
        <v>0.9629186602870814</v>
      </c>
      <c r="G45" s="42" t="s">
        <v>1332</v>
      </c>
    </row>
    <row r="46" spans="1:7">
      <c r="A46" s="40" t="s">
        <v>1</v>
      </c>
      <c r="B46" s="40" t="s">
        <v>1204</v>
      </c>
      <c r="C46" s="27" t="s">
        <v>1313</v>
      </c>
      <c r="D46" s="43">
        <v>167.2</v>
      </c>
      <c r="E46" s="31">
        <v>96</v>
      </c>
      <c r="F46" s="44">
        <v>0.57416267942583732</v>
      </c>
      <c r="G46" s="42" t="s">
        <v>1333</v>
      </c>
    </row>
    <row r="47" spans="1:7">
      <c r="A47" s="40" t="s">
        <v>1</v>
      </c>
      <c r="B47" s="40" t="s">
        <v>1204</v>
      </c>
      <c r="C47" s="27" t="s">
        <v>1314</v>
      </c>
      <c r="D47" s="43">
        <v>167.2</v>
      </c>
      <c r="E47" s="31">
        <v>335</v>
      </c>
      <c r="F47" s="44">
        <v>2.0035885167464116</v>
      </c>
      <c r="G47" s="42" t="s">
        <v>1331</v>
      </c>
    </row>
    <row r="48" spans="1:7">
      <c r="A48" s="40" t="s">
        <v>1</v>
      </c>
      <c r="B48" s="40" t="s">
        <v>1205</v>
      </c>
      <c r="C48" s="27" t="s">
        <v>1312</v>
      </c>
      <c r="D48" s="43">
        <v>167.2</v>
      </c>
      <c r="E48" s="42">
        <v>128</v>
      </c>
      <c r="F48" s="44">
        <v>0.76555023923444976</v>
      </c>
      <c r="G48" s="42" t="s">
        <v>1333</v>
      </c>
    </row>
    <row r="49" spans="1:7">
      <c r="A49" s="40" t="s">
        <v>1</v>
      </c>
      <c r="B49" s="40" t="s">
        <v>1205</v>
      </c>
      <c r="C49" s="27" t="s">
        <v>1313</v>
      </c>
      <c r="D49" s="43">
        <v>167.2</v>
      </c>
      <c r="E49" s="42">
        <v>111</v>
      </c>
      <c r="F49" s="44">
        <v>0.6638755980861244</v>
      </c>
      <c r="G49" s="42" t="s">
        <v>1333</v>
      </c>
    </row>
    <row r="50" spans="1:7">
      <c r="A50" s="40" t="s">
        <v>1</v>
      </c>
      <c r="B50" s="40" t="s">
        <v>1205</v>
      </c>
      <c r="C50" s="27" t="s">
        <v>1314</v>
      </c>
      <c r="D50" s="43">
        <v>167.2</v>
      </c>
      <c r="E50" s="42">
        <v>201</v>
      </c>
      <c r="F50" s="44">
        <v>1.2021531100478469</v>
      </c>
      <c r="G50" s="42" t="s">
        <v>1331</v>
      </c>
    </row>
    <row r="51" spans="1:7">
      <c r="A51" s="88" t="s">
        <v>4</v>
      </c>
      <c r="B51" s="40" t="s">
        <v>1202</v>
      </c>
      <c r="C51" s="88" t="s">
        <v>1317</v>
      </c>
      <c r="D51" s="43">
        <v>167.2</v>
      </c>
      <c r="E51" s="42">
        <v>111</v>
      </c>
      <c r="F51" s="44">
        <v>0.6638755980861244</v>
      </c>
      <c r="G51" s="42" t="s">
        <v>1333</v>
      </c>
    </row>
    <row r="52" spans="1:7">
      <c r="A52" s="88" t="s">
        <v>4</v>
      </c>
      <c r="B52" s="40" t="s">
        <v>1202</v>
      </c>
      <c r="C52" s="88" t="s">
        <v>1318</v>
      </c>
      <c r="D52" s="43">
        <v>167.2</v>
      </c>
      <c r="E52" s="42">
        <v>201</v>
      </c>
      <c r="F52" s="44">
        <v>1.2021531100478469</v>
      </c>
      <c r="G52" s="42" t="s">
        <v>1331</v>
      </c>
    </row>
    <row r="53" spans="1:7">
      <c r="A53" s="88" t="s">
        <v>4</v>
      </c>
      <c r="B53" s="40" t="s">
        <v>1202</v>
      </c>
      <c r="C53" s="88" t="s">
        <v>1319</v>
      </c>
      <c r="D53" s="43">
        <v>167.2</v>
      </c>
      <c r="E53" s="31">
        <v>161</v>
      </c>
      <c r="F53" s="44">
        <v>0.9629186602870814</v>
      </c>
      <c r="G53" s="42" t="s">
        <v>1332</v>
      </c>
    </row>
    <row r="54" spans="1:7">
      <c r="A54" s="88" t="s">
        <v>4</v>
      </c>
      <c r="B54" s="40" t="s">
        <v>1203</v>
      </c>
      <c r="C54" s="88" t="s">
        <v>1317</v>
      </c>
      <c r="D54" s="43">
        <v>167.2</v>
      </c>
      <c r="E54" s="31">
        <v>96</v>
      </c>
      <c r="F54" s="44">
        <v>0.57416267942583732</v>
      </c>
      <c r="G54" s="42" t="s">
        <v>1333</v>
      </c>
    </row>
    <row r="55" spans="1:7">
      <c r="A55" s="88" t="s">
        <v>4</v>
      </c>
      <c r="B55" s="40" t="s">
        <v>1203</v>
      </c>
      <c r="C55" s="88" t="s">
        <v>1318</v>
      </c>
      <c r="D55" s="43">
        <v>167.2</v>
      </c>
      <c r="E55" s="31">
        <v>335</v>
      </c>
      <c r="F55" s="44">
        <v>2.0035885167464116</v>
      </c>
      <c r="G55" s="42" t="s">
        <v>1331</v>
      </c>
    </row>
    <row r="56" spans="1:7">
      <c r="A56" s="88" t="s">
        <v>4</v>
      </c>
      <c r="B56" s="40" t="s">
        <v>1203</v>
      </c>
      <c r="C56" s="88" t="s">
        <v>1319</v>
      </c>
      <c r="D56" s="43">
        <v>167.2</v>
      </c>
      <c r="E56" s="42">
        <v>128</v>
      </c>
      <c r="F56" s="44">
        <v>0.76555023923444976</v>
      </c>
      <c r="G56" s="42" t="s">
        <v>1333</v>
      </c>
    </row>
    <row r="57" spans="1:7">
      <c r="A57" s="88" t="s">
        <v>4</v>
      </c>
      <c r="B57" s="40" t="s">
        <v>1204</v>
      </c>
      <c r="C57" s="88" t="s">
        <v>1317</v>
      </c>
      <c r="D57" s="43">
        <v>167.2</v>
      </c>
      <c r="E57" s="42">
        <v>111</v>
      </c>
      <c r="F57" s="44">
        <v>0.6638755980861244</v>
      </c>
      <c r="G57" s="42" t="s">
        <v>1333</v>
      </c>
    </row>
    <row r="58" spans="1:7">
      <c r="A58" s="88" t="s">
        <v>4</v>
      </c>
      <c r="B58" s="40" t="s">
        <v>1204</v>
      </c>
      <c r="C58" s="88" t="s">
        <v>1318</v>
      </c>
      <c r="D58" s="43">
        <v>167.2</v>
      </c>
      <c r="E58" s="42">
        <v>201</v>
      </c>
      <c r="F58" s="44">
        <v>1.2021531100478469</v>
      </c>
      <c r="G58" s="42" t="s">
        <v>1331</v>
      </c>
    </row>
    <row r="59" spans="1:7">
      <c r="A59" s="88" t="s">
        <v>4</v>
      </c>
      <c r="B59" s="40" t="s">
        <v>1204</v>
      </c>
      <c r="C59" s="88" t="s">
        <v>1319</v>
      </c>
      <c r="D59" s="43">
        <v>167.2</v>
      </c>
      <c r="E59" s="31">
        <v>161</v>
      </c>
      <c r="F59" s="44">
        <v>0.9629186602870814</v>
      </c>
      <c r="G59" s="42" t="s">
        <v>1332</v>
      </c>
    </row>
    <row r="60" spans="1:7">
      <c r="A60" s="88" t="s">
        <v>4</v>
      </c>
      <c r="B60" s="40" t="s">
        <v>1205</v>
      </c>
      <c r="C60" s="88" t="s">
        <v>1317</v>
      </c>
      <c r="D60" s="43">
        <v>167.2</v>
      </c>
      <c r="E60" s="31">
        <v>96</v>
      </c>
      <c r="F60" s="44">
        <v>0.57416267942583732</v>
      </c>
      <c r="G60" s="42" t="s">
        <v>1333</v>
      </c>
    </row>
    <row r="61" spans="1:7">
      <c r="A61" s="88" t="s">
        <v>4</v>
      </c>
      <c r="B61" s="40" t="s">
        <v>1205</v>
      </c>
      <c r="C61" s="88" t="s">
        <v>1318</v>
      </c>
      <c r="D61" s="43">
        <v>167.2</v>
      </c>
      <c r="E61" s="31">
        <v>335</v>
      </c>
      <c r="F61" s="44">
        <v>2.0035885167464116</v>
      </c>
      <c r="G61" s="42" t="s">
        <v>1331</v>
      </c>
    </row>
    <row r="62" spans="1:7">
      <c r="A62" s="88" t="s">
        <v>4</v>
      </c>
      <c r="B62" s="40" t="s">
        <v>1205</v>
      </c>
      <c r="C62" s="88" t="s">
        <v>1319</v>
      </c>
      <c r="D62" s="43">
        <v>167.2</v>
      </c>
      <c r="E62" s="31">
        <v>96</v>
      </c>
      <c r="F62" s="44">
        <v>0.57416267942583732</v>
      </c>
      <c r="G62" s="42" t="s">
        <v>1333</v>
      </c>
    </row>
    <row r="63" spans="1:7">
      <c r="A63" s="40" t="s">
        <v>3</v>
      </c>
      <c r="B63" s="40" t="s">
        <v>1202</v>
      </c>
      <c r="C63" s="27" t="s">
        <v>1315</v>
      </c>
      <c r="D63" s="43">
        <v>167.2</v>
      </c>
      <c r="E63" s="31">
        <v>161</v>
      </c>
      <c r="F63" s="44">
        <v>0.9629186602870814</v>
      </c>
      <c r="G63" s="42" t="s">
        <v>1332</v>
      </c>
    </row>
    <row r="64" spans="1:7">
      <c r="A64" s="40" t="s">
        <v>3</v>
      </c>
      <c r="B64" s="40" t="s">
        <v>1202</v>
      </c>
      <c r="C64" s="27" t="s">
        <v>1314</v>
      </c>
      <c r="D64" s="43">
        <v>167.2</v>
      </c>
      <c r="E64" s="31">
        <v>96</v>
      </c>
      <c r="F64" s="44">
        <v>0.57416267942583732</v>
      </c>
      <c r="G64" s="42" t="s">
        <v>1333</v>
      </c>
    </row>
    <row r="65" spans="1:7">
      <c r="A65" s="40" t="s">
        <v>3</v>
      </c>
      <c r="B65" s="40" t="s">
        <v>1202</v>
      </c>
      <c r="C65" s="27" t="s">
        <v>1316</v>
      </c>
      <c r="D65" s="43">
        <v>167.2</v>
      </c>
      <c r="E65" s="31">
        <v>335</v>
      </c>
      <c r="F65" s="44">
        <v>2.0035885167464116</v>
      </c>
      <c r="G65" s="42" t="s">
        <v>1331</v>
      </c>
    </row>
    <row r="66" spans="1:7">
      <c r="A66" s="40" t="s">
        <v>3</v>
      </c>
      <c r="B66" s="40" t="s">
        <v>1203</v>
      </c>
      <c r="C66" s="27" t="s">
        <v>1315</v>
      </c>
      <c r="D66" s="43">
        <v>167.2</v>
      </c>
      <c r="E66" s="42">
        <v>128</v>
      </c>
      <c r="F66" s="44">
        <v>0.76555023923444976</v>
      </c>
      <c r="G66" s="42" t="s">
        <v>1333</v>
      </c>
    </row>
    <row r="67" spans="1:7">
      <c r="A67" s="40" t="s">
        <v>3</v>
      </c>
      <c r="B67" s="40" t="s">
        <v>1203</v>
      </c>
      <c r="C67" s="27" t="s">
        <v>1314</v>
      </c>
      <c r="D67" s="43">
        <v>167.2</v>
      </c>
      <c r="E67" s="42">
        <v>111</v>
      </c>
      <c r="F67" s="44">
        <v>0.6638755980861244</v>
      </c>
      <c r="G67" s="42" t="s">
        <v>1333</v>
      </c>
    </row>
    <row r="68" spans="1:7">
      <c r="A68" s="40" t="s">
        <v>3</v>
      </c>
      <c r="B68" s="40" t="s">
        <v>1203</v>
      </c>
      <c r="C68" s="27" t="s">
        <v>1316</v>
      </c>
      <c r="D68" s="43">
        <v>167.2</v>
      </c>
      <c r="E68" s="42">
        <v>201</v>
      </c>
      <c r="F68" s="44">
        <v>1.2021531100478469</v>
      </c>
      <c r="G68" s="42" t="s">
        <v>1331</v>
      </c>
    </row>
    <row r="69" spans="1:7">
      <c r="A69" s="40" t="s">
        <v>3</v>
      </c>
      <c r="B69" s="40" t="s">
        <v>1204</v>
      </c>
      <c r="C69" s="27" t="s">
        <v>1315</v>
      </c>
      <c r="D69" s="43">
        <v>167.2</v>
      </c>
      <c r="E69" s="31">
        <v>161</v>
      </c>
      <c r="F69" s="44">
        <v>0.9629186602870814</v>
      </c>
      <c r="G69" s="42" t="s">
        <v>1332</v>
      </c>
    </row>
    <row r="70" spans="1:7">
      <c r="A70" s="40" t="s">
        <v>3</v>
      </c>
      <c r="B70" s="40" t="s">
        <v>1204</v>
      </c>
      <c r="C70" s="27" t="s">
        <v>1314</v>
      </c>
      <c r="D70" s="43">
        <v>167.2</v>
      </c>
      <c r="E70" s="31">
        <v>96</v>
      </c>
      <c r="F70" s="44">
        <v>0.57416267942583732</v>
      </c>
      <c r="G70" s="42" t="s">
        <v>1333</v>
      </c>
    </row>
    <row r="71" spans="1:7">
      <c r="A71" s="40" t="s">
        <v>3</v>
      </c>
      <c r="B71" s="40" t="s">
        <v>1204</v>
      </c>
      <c r="C71" s="27" t="s">
        <v>1316</v>
      </c>
      <c r="D71" s="43">
        <v>167.2</v>
      </c>
      <c r="E71" s="31">
        <v>335</v>
      </c>
      <c r="F71" s="44">
        <v>2.0035885167464116</v>
      </c>
      <c r="G71" s="42" t="s">
        <v>1331</v>
      </c>
    </row>
    <row r="72" spans="1:7">
      <c r="A72" s="40" t="s">
        <v>3</v>
      </c>
      <c r="B72" s="40" t="s">
        <v>1205</v>
      </c>
      <c r="C72" s="27" t="s">
        <v>1315</v>
      </c>
      <c r="D72" s="43">
        <v>167.2</v>
      </c>
      <c r="E72" s="42">
        <v>128</v>
      </c>
      <c r="F72" s="44">
        <v>0.76555023923444976</v>
      </c>
      <c r="G72" s="42" t="s">
        <v>1333</v>
      </c>
    </row>
    <row r="73" spans="1:7">
      <c r="A73" s="40" t="s">
        <v>3</v>
      </c>
      <c r="B73" s="40" t="s">
        <v>1205</v>
      </c>
      <c r="C73" s="27" t="s">
        <v>1314</v>
      </c>
      <c r="D73" s="43">
        <v>167.2</v>
      </c>
      <c r="E73" s="42">
        <v>111</v>
      </c>
      <c r="F73" s="44">
        <v>0.6638755980861244</v>
      </c>
      <c r="G73" s="42" t="s">
        <v>1333</v>
      </c>
    </row>
    <row r="74" spans="1:7">
      <c r="A74" s="40" t="s">
        <v>3</v>
      </c>
      <c r="B74" s="40" t="s">
        <v>1205</v>
      </c>
      <c r="C74" s="27" t="s">
        <v>1316</v>
      </c>
      <c r="D74" s="43">
        <v>167.2</v>
      </c>
      <c r="E74" s="42">
        <v>201</v>
      </c>
      <c r="F74" s="44">
        <v>1.2021531100478469</v>
      </c>
      <c r="G74" s="42" t="s">
        <v>1331</v>
      </c>
    </row>
  </sheetData>
  <conditionalFormatting sqref="G1:G2 G361:G1048576">
    <cfRule type="expression" dxfId="128" priority="37">
      <formula>"G1&gt;100"</formula>
    </cfRule>
  </conditionalFormatting>
  <conditionalFormatting sqref="G75:G360">
    <cfRule type="expression" dxfId="127" priority="33">
      <formula>$G75="Less load"</formula>
    </cfRule>
    <cfRule type="expression" dxfId="126" priority="34">
      <formula>$G75="Balanced"</formula>
    </cfRule>
    <cfRule type="expression" dxfId="125" priority="35">
      <formula>$G75="High load"</formula>
    </cfRule>
    <cfRule type="expression" dxfId="124" priority="36">
      <formula>$G75="Overload"</formula>
    </cfRule>
  </conditionalFormatting>
  <conditionalFormatting sqref="G361:G664">
    <cfRule type="expression" dxfId="123" priority="51">
      <formula>$G361="Low Load"</formula>
    </cfRule>
    <cfRule type="expression" dxfId="122" priority="52">
      <formula>$G361="Balanced"</formula>
    </cfRule>
    <cfRule type="expression" dxfId="121" priority="53">
      <formula>$G361="High Load"</formula>
    </cfRule>
    <cfRule type="expression" dxfId="120" priority="54">
      <formula>$G361="Overload"</formula>
    </cfRule>
  </conditionalFormatting>
  <conditionalFormatting sqref="G3:G38">
    <cfRule type="expression" dxfId="69" priority="13">
      <formula>$G3="Less load"</formula>
    </cfRule>
    <cfRule type="expression" dxfId="68" priority="14">
      <formula>$G3="Balanced"</formula>
    </cfRule>
    <cfRule type="expression" dxfId="67" priority="15">
      <formula>$G3="High load"</formula>
    </cfRule>
    <cfRule type="expression" dxfId="66" priority="16">
      <formula>$G3="Overload"</formula>
    </cfRule>
  </conditionalFormatting>
  <conditionalFormatting sqref="G39:G50">
    <cfRule type="expression" dxfId="41" priority="9">
      <formula>$G39="Less load"</formula>
    </cfRule>
    <cfRule type="expression" dxfId="40" priority="10">
      <formula>$G39="Balanced"</formula>
    </cfRule>
    <cfRule type="expression" dxfId="39" priority="11">
      <formula>$G39="High load"</formula>
    </cfRule>
    <cfRule type="expression" dxfId="38" priority="12">
      <formula>$G39="Overload"</formula>
    </cfRule>
  </conditionalFormatting>
  <conditionalFormatting sqref="G51:G62">
    <cfRule type="expression" dxfId="26" priority="5">
      <formula>$G51="Less load"</formula>
    </cfRule>
    <cfRule type="expression" dxfId="25" priority="6">
      <formula>$G51="Balanced"</formula>
    </cfRule>
    <cfRule type="expression" dxfId="24" priority="7">
      <formula>$G51="High load"</formula>
    </cfRule>
    <cfRule type="expression" dxfId="23" priority="8">
      <formula>$G51="Overload"</formula>
    </cfRule>
  </conditionalFormatting>
  <conditionalFormatting sqref="G63:G74">
    <cfRule type="expression" dxfId="9" priority="1">
      <formula>$G63="Less load"</formula>
    </cfRule>
    <cfRule type="expression" dxfId="8" priority="2">
      <formula>$G63="Balanced"</formula>
    </cfRule>
    <cfRule type="expression" dxfId="7" priority="3">
      <formula>$G63="High load"</formula>
    </cfRule>
    <cfRule type="expression" dxfId="6" priority="4">
      <formula>$G63="Overload"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18"/>
  <sheetViews>
    <sheetView zoomScale="85" zoomScaleNormal="85" workbookViewId="0">
      <selection activeCell="A11" sqref="A11:D18"/>
    </sheetView>
  </sheetViews>
  <sheetFormatPr defaultColWidth="8.7265625" defaultRowHeight="14.5"/>
  <cols>
    <col min="1" max="2" width="10.54296875" style="88" customWidth="1"/>
    <col min="3" max="3" width="21.1796875" style="107" customWidth="1"/>
    <col min="4" max="4" width="17.54296875" style="108" customWidth="1"/>
    <col min="5" max="16384" width="8.7265625" style="88"/>
  </cols>
  <sheetData>
    <row r="1" spans="1:4" ht="21" customHeight="1">
      <c r="A1" s="83" t="s">
        <v>1201</v>
      </c>
      <c r="B1" s="84"/>
      <c r="C1" s="103"/>
      <c r="D1" s="104"/>
    </row>
    <row r="2" spans="1:4" ht="31.5" customHeight="1">
      <c r="A2" s="36" t="s">
        <v>5</v>
      </c>
      <c r="B2" s="36" t="s">
        <v>6</v>
      </c>
      <c r="C2" s="105" t="s">
        <v>1216</v>
      </c>
      <c r="D2" s="106" t="s">
        <v>1233</v>
      </c>
    </row>
    <row r="3" spans="1:4">
      <c r="A3" s="40" t="s">
        <v>2</v>
      </c>
      <c r="B3" s="40" t="s">
        <v>1202</v>
      </c>
      <c r="C3" s="29">
        <v>79</v>
      </c>
      <c r="D3" s="29">
        <v>2523</v>
      </c>
    </row>
    <row r="4" spans="1:4">
      <c r="A4" s="40" t="s">
        <v>2</v>
      </c>
      <c r="B4" s="40" t="s">
        <v>1203</v>
      </c>
      <c r="C4" s="29">
        <v>78</v>
      </c>
      <c r="D4" s="29">
        <v>2504</v>
      </c>
    </row>
    <row r="5" spans="1:4">
      <c r="A5" s="40" t="s">
        <v>2</v>
      </c>
      <c r="B5" s="40" t="s">
        <v>1204</v>
      </c>
      <c r="C5" s="29">
        <v>79</v>
      </c>
      <c r="D5" s="29">
        <v>2755</v>
      </c>
    </row>
    <row r="6" spans="1:4">
      <c r="A6" s="40" t="s">
        <v>2</v>
      </c>
      <c r="B6" s="40" t="s">
        <v>1205</v>
      </c>
      <c r="C6" s="29">
        <v>74</v>
      </c>
      <c r="D6" s="29">
        <v>2931</v>
      </c>
    </row>
    <row r="7" spans="1:4">
      <c r="A7" s="40" t="s">
        <v>1</v>
      </c>
      <c r="B7" s="40" t="s">
        <v>1202</v>
      </c>
      <c r="C7" s="29">
        <v>90</v>
      </c>
      <c r="D7" s="29">
        <v>3000</v>
      </c>
    </row>
    <row r="8" spans="1:4">
      <c r="A8" s="40" t="s">
        <v>1</v>
      </c>
      <c r="B8" s="40" t="s">
        <v>1203</v>
      </c>
      <c r="C8" s="29">
        <v>85</v>
      </c>
      <c r="D8" s="29">
        <v>2900</v>
      </c>
    </row>
    <row r="9" spans="1:4">
      <c r="A9" s="40" t="s">
        <v>1</v>
      </c>
      <c r="B9" s="40" t="s">
        <v>1204</v>
      </c>
      <c r="C9" s="29">
        <v>96</v>
      </c>
      <c r="D9" s="29">
        <v>3200</v>
      </c>
    </row>
    <row r="10" spans="1:4">
      <c r="A10" s="40" t="s">
        <v>1</v>
      </c>
      <c r="B10" s="40" t="s">
        <v>1205</v>
      </c>
      <c r="C10" s="29">
        <v>92</v>
      </c>
      <c r="D10" s="29">
        <v>3100</v>
      </c>
    </row>
    <row r="11" spans="1:4">
      <c r="A11" s="40" t="s">
        <v>3</v>
      </c>
      <c r="B11" s="40" t="s">
        <v>1202</v>
      </c>
      <c r="C11" s="29">
        <v>96</v>
      </c>
      <c r="D11" s="29">
        <v>3200</v>
      </c>
    </row>
    <row r="12" spans="1:4">
      <c r="A12" s="40" t="s">
        <v>3</v>
      </c>
      <c r="B12" s="40" t="s">
        <v>1203</v>
      </c>
      <c r="C12" s="29">
        <v>92</v>
      </c>
      <c r="D12" s="29">
        <v>3100</v>
      </c>
    </row>
    <row r="13" spans="1:4">
      <c r="A13" s="40" t="s">
        <v>3</v>
      </c>
      <c r="B13" s="40" t="s">
        <v>1204</v>
      </c>
      <c r="C13" s="29">
        <v>90</v>
      </c>
      <c r="D13" s="29">
        <v>3000</v>
      </c>
    </row>
    <row r="14" spans="1:4">
      <c r="A14" s="40" t="s">
        <v>3</v>
      </c>
      <c r="B14" s="40" t="s">
        <v>1205</v>
      </c>
      <c r="C14" s="29">
        <v>85</v>
      </c>
      <c r="D14" s="29">
        <v>2900</v>
      </c>
    </row>
    <row r="15" spans="1:4">
      <c r="A15" s="40" t="s">
        <v>3</v>
      </c>
      <c r="B15" s="40" t="s">
        <v>1202</v>
      </c>
      <c r="C15" s="29">
        <v>96</v>
      </c>
      <c r="D15" s="29">
        <v>3200</v>
      </c>
    </row>
    <row r="16" spans="1:4">
      <c r="A16" s="40" t="s">
        <v>3</v>
      </c>
      <c r="B16" s="40" t="s">
        <v>1203</v>
      </c>
      <c r="C16" s="29">
        <v>92</v>
      </c>
      <c r="D16" s="29">
        <v>3100</v>
      </c>
    </row>
    <row r="17" spans="1:4">
      <c r="A17" s="40" t="s">
        <v>3</v>
      </c>
      <c r="B17" s="40" t="s">
        <v>1204</v>
      </c>
      <c r="C17" s="29">
        <v>96</v>
      </c>
      <c r="D17" s="29">
        <v>3200</v>
      </c>
    </row>
    <row r="18" spans="1:4">
      <c r="A18" s="40" t="s">
        <v>3</v>
      </c>
      <c r="B18" s="40" t="s">
        <v>1205</v>
      </c>
      <c r="C18" s="29">
        <v>92</v>
      </c>
      <c r="D18" s="29">
        <v>3100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111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111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111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111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111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111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111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111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111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111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111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111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111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111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111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111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111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111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111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111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111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111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111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111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111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111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111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111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111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111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111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111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111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111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111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111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111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111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111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111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111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111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111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111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111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111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111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111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111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111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111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111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111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111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111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111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111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111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111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111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111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111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111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111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111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111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111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111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111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111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111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111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111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111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111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111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111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111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111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111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111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111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111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111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111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111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111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111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111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111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111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111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111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111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111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111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111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111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111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111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111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111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111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111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111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111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111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111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111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111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111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111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111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111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111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111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111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111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111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111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111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111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111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111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111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111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111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111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111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111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111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111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111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111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111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111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111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111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111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111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111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111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111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111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111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111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111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111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111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111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111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111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111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111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111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111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111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111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111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111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111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111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111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111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111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111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111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111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111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111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111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111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111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111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111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111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111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111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111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111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111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111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111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111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111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111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111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111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111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111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111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111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111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111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111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111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111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111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111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111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111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111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111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111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111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111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111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111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111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111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111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111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111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111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111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111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111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111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111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111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111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111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111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111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111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111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111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111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111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111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111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111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111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111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111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111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111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111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111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111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111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111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111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111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111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111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111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111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111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111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111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111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111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111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111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111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111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111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111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111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111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111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111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111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111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111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111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111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111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111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111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111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111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111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111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111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111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111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111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111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111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111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111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111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111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111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111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111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111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111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111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111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111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111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111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111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111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111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111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111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111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111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111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111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111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111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111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111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111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111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111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111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111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111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111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111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111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111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111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111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111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111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111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111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111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111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111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111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111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111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111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111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111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111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111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111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111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111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111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111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111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111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111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111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111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111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111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111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111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111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111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111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111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111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111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111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111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111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111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111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111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111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111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111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111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111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111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111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111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111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111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111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111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111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111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111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111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111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111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111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111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111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111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111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111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111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111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111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111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111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111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111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111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111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111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111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111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111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111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111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111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111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111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111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111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111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111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111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111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111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111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111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111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111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111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111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111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111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111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111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111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111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111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111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111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111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111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111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111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111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111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111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111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111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111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111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111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111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111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111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111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111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111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111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111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111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111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111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111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111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111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111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111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111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111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111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111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111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111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111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111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111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111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111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111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111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111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111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111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111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111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111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111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111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111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111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111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111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111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111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111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111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111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111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111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111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111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111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111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111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111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111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111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111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111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111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111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111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111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111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111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111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111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111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111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111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111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111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111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111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111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111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111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111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111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111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111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111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111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111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111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111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111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111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111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111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111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111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111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111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111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111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111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111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111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111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111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111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111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111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111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111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111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111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111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111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111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111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111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111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111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111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111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111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111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111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111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111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111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111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111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111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111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111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111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111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111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111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111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111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111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111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111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111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111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111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111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111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111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111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111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111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111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111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111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111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111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111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111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111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111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111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111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111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111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111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111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111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111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111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111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111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111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111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111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111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111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111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111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111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111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111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111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111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111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111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111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111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111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111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111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111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111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111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111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111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111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111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111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111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111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111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111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111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111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111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111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111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111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111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111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111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111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111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111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111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111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111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111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111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111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111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111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111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111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111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111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111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111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111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111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111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111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111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111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111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111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111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111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111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111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111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111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111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111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111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111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111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111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111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111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111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111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111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111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111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111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111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111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111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111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111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111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111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111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111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111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111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111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111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111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111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111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111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111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111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111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111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111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111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111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111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111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111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111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111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111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111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111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111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111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111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111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111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111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111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111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111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111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111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111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111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111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111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111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111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111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111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111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111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111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111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111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111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111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111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111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111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111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111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111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111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111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111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111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111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111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111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111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111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111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111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111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111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111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111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111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111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111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111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111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111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111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111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111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111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111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111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111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111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111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111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111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111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111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111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111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111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111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111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111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111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111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111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111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111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111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111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111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111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111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111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111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111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111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111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111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111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111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111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111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 filterMode="1"/>
  <dimension ref="A1:N114"/>
  <sheetViews>
    <sheetView zoomScale="85" zoomScaleNormal="85" workbookViewId="0">
      <pane xSplit="2" ySplit="2" topLeftCell="C19" activePane="bottomRight" state="frozen"/>
      <selection activeCell="I8" sqref="I8"/>
      <selection pane="topRight" activeCell="I8" sqref="I8"/>
      <selection pane="bottomLeft" activeCell="I8" sqref="I8"/>
      <selection pane="bottomRight" activeCell="A3" sqref="A3:N30"/>
    </sheetView>
  </sheetViews>
  <sheetFormatPr defaultColWidth="8.7265625" defaultRowHeight="14.5"/>
  <cols>
    <col min="1" max="2" width="8.7265625" style="88"/>
    <col min="3" max="4" width="10.1796875" style="88" customWidth="1"/>
    <col min="5" max="5" width="13.1796875" style="88" customWidth="1"/>
    <col min="6" max="6" width="10.1796875" style="88" customWidth="1"/>
    <col min="7" max="7" width="10.54296875" style="88" customWidth="1"/>
    <col min="8" max="8" width="14.1796875" style="88" customWidth="1"/>
    <col min="9" max="9" width="13.81640625" style="88" customWidth="1"/>
    <col min="10" max="10" width="10.1796875" style="88" customWidth="1"/>
    <col min="11" max="11" width="15.453125" style="88" customWidth="1"/>
    <col min="12" max="12" width="11.7265625" style="88" customWidth="1"/>
    <col min="13" max="13" width="14" style="102" customWidth="1"/>
    <col min="14" max="14" width="14.7265625" style="88" customWidth="1"/>
    <col min="15" max="16384" width="8.7265625" style="88"/>
  </cols>
  <sheetData>
    <row r="1" spans="1:14" ht="28" customHeight="1">
      <c r="A1" s="89" t="s">
        <v>1197</v>
      </c>
      <c r="B1" s="85"/>
      <c r="C1" s="85"/>
      <c r="D1" s="64"/>
      <c r="E1" s="64"/>
      <c r="F1" s="85"/>
      <c r="G1" s="85"/>
      <c r="H1" s="85"/>
      <c r="I1" s="85"/>
      <c r="J1" s="85"/>
      <c r="K1" s="85"/>
      <c r="L1" s="85"/>
      <c r="M1" s="90"/>
      <c r="N1" s="85"/>
    </row>
    <row r="2" spans="1:14" s="93" customFormat="1" ht="52" customHeight="1">
      <c r="A2" s="91" t="s">
        <v>5</v>
      </c>
      <c r="B2" s="91" t="s">
        <v>6</v>
      </c>
      <c r="C2" s="91" t="s">
        <v>9</v>
      </c>
      <c r="D2" s="91" t="s">
        <v>1238</v>
      </c>
      <c r="E2" s="91" t="s">
        <v>1243</v>
      </c>
      <c r="F2" s="91" t="s">
        <v>1239</v>
      </c>
      <c r="G2" s="91" t="s">
        <v>1242</v>
      </c>
      <c r="H2" s="91" t="s">
        <v>1240</v>
      </c>
      <c r="I2" s="91" t="s">
        <v>1241</v>
      </c>
      <c r="J2" s="91" t="s">
        <v>1244</v>
      </c>
      <c r="K2" s="91" t="s">
        <v>1245</v>
      </c>
      <c r="L2" s="91" t="s">
        <v>1246</v>
      </c>
      <c r="M2" s="92" t="s">
        <v>1200</v>
      </c>
      <c r="N2" s="92" t="s">
        <v>1254</v>
      </c>
    </row>
    <row r="3" spans="1:14" ht="20.5" customHeight="1">
      <c r="A3" s="39" t="s">
        <v>2</v>
      </c>
      <c r="B3" s="40" t="s">
        <v>1202</v>
      </c>
      <c r="C3" s="127" t="s">
        <v>1248</v>
      </c>
      <c r="D3" s="39">
        <v>288</v>
      </c>
      <c r="E3" s="39">
        <v>7200</v>
      </c>
      <c r="F3" s="39"/>
      <c r="G3" s="39"/>
      <c r="H3" s="39">
        <v>58</v>
      </c>
      <c r="I3" s="39">
        <v>580</v>
      </c>
      <c r="J3" s="39">
        <v>9</v>
      </c>
      <c r="K3" s="39">
        <v>45</v>
      </c>
      <c r="L3" s="117">
        <v>7825</v>
      </c>
      <c r="M3" s="118">
        <v>7.0185037357275479E-2</v>
      </c>
      <c r="N3" s="99">
        <v>0.77203541093003025</v>
      </c>
    </row>
    <row r="4" spans="1:14" ht="20.5" customHeight="1">
      <c r="A4" s="39" t="s">
        <v>2</v>
      </c>
      <c r="B4" s="40" t="s">
        <v>1202</v>
      </c>
      <c r="C4" s="127" t="s">
        <v>1247</v>
      </c>
      <c r="D4" s="39">
        <v>290</v>
      </c>
      <c r="E4" s="39">
        <v>5510</v>
      </c>
      <c r="F4" s="39">
        <v>1</v>
      </c>
      <c r="G4" s="39"/>
      <c r="H4" s="39">
        <v>32</v>
      </c>
      <c r="I4" s="39">
        <v>340</v>
      </c>
      <c r="J4" s="39">
        <v>8</v>
      </c>
      <c r="K4" s="39">
        <v>65</v>
      </c>
      <c r="L4" s="117">
        <v>5915</v>
      </c>
      <c r="M4" s="118">
        <v>5.305360970840696E-2</v>
      </c>
      <c r="N4" s="99">
        <v>0.58358970679247657</v>
      </c>
    </row>
    <row r="5" spans="1:14" ht="20.5" customHeight="1">
      <c r="A5" s="39" t="s">
        <v>2</v>
      </c>
      <c r="B5" s="40" t="s">
        <v>1202</v>
      </c>
      <c r="C5" s="127" t="s">
        <v>1250</v>
      </c>
      <c r="D5" s="39">
        <v>246</v>
      </c>
      <c r="E5" s="39">
        <v>6642</v>
      </c>
      <c r="F5" s="39"/>
      <c r="G5" s="39"/>
      <c r="H5" s="39">
        <v>117</v>
      </c>
      <c r="I5" s="39">
        <v>1266</v>
      </c>
      <c r="J5" s="39">
        <v>41</v>
      </c>
      <c r="K5" s="39">
        <v>205</v>
      </c>
      <c r="L5" s="117">
        <v>8113</v>
      </c>
      <c r="M5" s="118">
        <v>7.2768205505377118E-2</v>
      </c>
      <c r="N5" s="99">
        <v>0.80045026055914825</v>
      </c>
    </row>
    <row r="6" spans="1:14" ht="20.5" customHeight="1">
      <c r="A6" s="39" t="s">
        <v>2</v>
      </c>
      <c r="B6" s="40" t="s">
        <v>1202</v>
      </c>
      <c r="C6" s="127" t="s">
        <v>1249</v>
      </c>
      <c r="D6" s="39">
        <v>134</v>
      </c>
      <c r="E6" s="39">
        <v>2546</v>
      </c>
      <c r="F6" s="39"/>
      <c r="G6" s="39">
        <v>10</v>
      </c>
      <c r="H6" s="39">
        <v>14</v>
      </c>
      <c r="I6" s="39">
        <v>90</v>
      </c>
      <c r="J6" s="39">
        <v>27</v>
      </c>
      <c r="K6" s="39">
        <v>160</v>
      </c>
      <c r="L6" s="117">
        <v>2806</v>
      </c>
      <c r="M6" s="118">
        <v>2.5167950776295845E-2</v>
      </c>
      <c r="N6" s="99">
        <v>0.2768474585392543</v>
      </c>
    </row>
    <row r="7" spans="1:14" ht="20.5" customHeight="1">
      <c r="A7" s="39" t="s">
        <v>2</v>
      </c>
      <c r="B7" s="40" t="s">
        <v>1202</v>
      </c>
      <c r="C7" s="127" t="s">
        <v>1251</v>
      </c>
      <c r="D7" s="39">
        <v>1914</v>
      </c>
      <c r="E7" s="39">
        <v>32538</v>
      </c>
      <c r="F7" s="39">
        <v>122</v>
      </c>
      <c r="G7" s="39">
        <v>1220</v>
      </c>
      <c r="H7" s="39">
        <v>138</v>
      </c>
      <c r="I7" s="39">
        <v>1010</v>
      </c>
      <c r="J7" s="39">
        <v>1</v>
      </c>
      <c r="K7" s="39">
        <v>5</v>
      </c>
      <c r="L7" s="117">
        <v>34773</v>
      </c>
      <c r="M7" s="118">
        <v>0.31189064588173038</v>
      </c>
      <c r="N7" s="99">
        <v>3.430797104699034</v>
      </c>
    </row>
    <row r="8" spans="1:14" ht="20.5" customHeight="1">
      <c r="A8" s="39" t="s">
        <v>2</v>
      </c>
      <c r="B8" s="40" t="s">
        <v>1202</v>
      </c>
      <c r="C8" s="127" t="s">
        <v>1252</v>
      </c>
      <c r="D8" s="39">
        <v>1542</v>
      </c>
      <c r="E8" s="39">
        <v>46459</v>
      </c>
      <c r="F8" s="39"/>
      <c r="G8" s="39"/>
      <c r="H8" s="39">
        <v>188</v>
      </c>
      <c r="I8" s="39">
        <v>3180</v>
      </c>
      <c r="J8" s="39">
        <v>3</v>
      </c>
      <c r="K8" s="39">
        <v>40</v>
      </c>
      <c r="L8" s="117">
        <v>49679</v>
      </c>
      <c r="M8" s="118">
        <v>0.44558753621368541</v>
      </c>
      <c r="N8" s="99">
        <v>4.9014628983505393</v>
      </c>
    </row>
    <row r="9" spans="1:14" ht="20.5" customHeight="1">
      <c r="A9" s="39" t="s">
        <v>2</v>
      </c>
      <c r="B9" s="40" t="s">
        <v>1202</v>
      </c>
      <c r="C9" s="127" t="s">
        <v>1253</v>
      </c>
      <c r="D9" s="39">
        <v>170</v>
      </c>
      <c r="E9" s="39">
        <v>2380</v>
      </c>
      <c r="F9" s="39"/>
      <c r="G9" s="39"/>
      <c r="H9" s="39">
        <v>0</v>
      </c>
      <c r="I9" s="39">
        <v>0</v>
      </c>
      <c r="J9" s="39">
        <v>0</v>
      </c>
      <c r="K9" s="39">
        <v>0</v>
      </c>
      <c r="L9" s="117">
        <v>2380</v>
      </c>
      <c r="M9" s="118">
        <v>2.1347014557228833E-2</v>
      </c>
      <c r="N9" s="99">
        <v>0.23481716012951717</v>
      </c>
    </row>
    <row r="10" spans="1:14" ht="20.5" customHeight="1">
      <c r="A10" s="39" t="s">
        <v>2</v>
      </c>
      <c r="B10" s="39" t="s">
        <v>1203</v>
      </c>
      <c r="C10" s="127" t="s">
        <v>1248</v>
      </c>
      <c r="D10" s="39">
        <v>271</v>
      </c>
      <c r="E10" s="39">
        <v>6775</v>
      </c>
      <c r="F10" s="96"/>
      <c r="G10" s="96"/>
      <c r="H10" s="39">
        <v>71</v>
      </c>
      <c r="I10" s="39">
        <v>710</v>
      </c>
      <c r="J10" s="39">
        <v>4</v>
      </c>
      <c r="K10" s="39">
        <v>20</v>
      </c>
      <c r="L10" s="117">
        <v>7505</v>
      </c>
      <c r="M10" s="118">
        <v>7.3374852125964243E-2</v>
      </c>
      <c r="N10" s="99">
        <v>0.80712337338560669</v>
      </c>
    </row>
    <row r="11" spans="1:14" ht="20.5" customHeight="1">
      <c r="A11" s="39" t="s">
        <v>2</v>
      </c>
      <c r="B11" s="39" t="s">
        <v>1203</v>
      </c>
      <c r="C11" s="127" t="s">
        <v>1247</v>
      </c>
      <c r="D11" s="39">
        <v>211</v>
      </c>
      <c r="E11" s="39">
        <v>4009</v>
      </c>
      <c r="F11" s="96"/>
      <c r="G11" s="96"/>
      <c r="H11" s="39">
        <v>38</v>
      </c>
      <c r="I11" s="39">
        <v>400</v>
      </c>
      <c r="J11" s="39">
        <v>14</v>
      </c>
      <c r="K11" s="39">
        <v>95</v>
      </c>
      <c r="L11" s="117">
        <v>4504</v>
      </c>
      <c r="M11" s="118">
        <v>4.4034688071331499E-2</v>
      </c>
      <c r="N11" s="99">
        <v>0.4843815687846465</v>
      </c>
    </row>
    <row r="12" spans="1:14" ht="20.5" customHeight="1">
      <c r="A12" s="39" t="s">
        <v>2</v>
      </c>
      <c r="B12" s="39" t="s">
        <v>1203</v>
      </c>
      <c r="C12" s="127" t="s">
        <v>1250</v>
      </c>
      <c r="D12" s="39">
        <v>208</v>
      </c>
      <c r="E12" s="39">
        <v>5616</v>
      </c>
      <c r="F12" s="96"/>
      <c r="G12" s="96"/>
      <c r="H12" s="39">
        <v>145</v>
      </c>
      <c r="I12" s="39">
        <v>1554</v>
      </c>
      <c r="J12" s="39">
        <v>46</v>
      </c>
      <c r="K12" s="39">
        <v>255</v>
      </c>
      <c r="L12" s="117">
        <v>7425</v>
      </c>
      <c r="M12" s="118">
        <v>7.2592708465727449E-2</v>
      </c>
      <c r="N12" s="99">
        <v>0.79851979312300192</v>
      </c>
    </row>
    <row r="13" spans="1:14" ht="20.5" customHeight="1">
      <c r="A13" s="39" t="s">
        <v>2</v>
      </c>
      <c r="B13" s="39" t="s">
        <v>1203</v>
      </c>
      <c r="C13" s="127" t="s">
        <v>1249</v>
      </c>
      <c r="D13" s="39">
        <v>129</v>
      </c>
      <c r="E13" s="39">
        <v>2451</v>
      </c>
      <c r="F13" s="96"/>
      <c r="G13" s="96"/>
      <c r="H13" s="39">
        <v>16</v>
      </c>
      <c r="I13" s="39">
        <v>115</v>
      </c>
      <c r="J13" s="39">
        <v>29</v>
      </c>
      <c r="K13" s="39">
        <v>145</v>
      </c>
      <c r="L13" s="117">
        <v>2711</v>
      </c>
      <c r="M13" s="118">
        <v>2.6504893286274357E-2</v>
      </c>
      <c r="N13" s="99">
        <v>0.29155382614901793</v>
      </c>
    </row>
    <row r="14" spans="1:14" ht="20.5" customHeight="1">
      <c r="A14" s="39" t="s">
        <v>2</v>
      </c>
      <c r="B14" s="39" t="s">
        <v>1203</v>
      </c>
      <c r="C14" s="127" t="s">
        <v>1251</v>
      </c>
      <c r="D14" s="39">
        <v>1920</v>
      </c>
      <c r="E14" s="39">
        <v>32640</v>
      </c>
      <c r="F14" s="96">
        <v>86</v>
      </c>
      <c r="G14" s="96">
        <v>860</v>
      </c>
      <c r="H14" s="39">
        <v>152</v>
      </c>
      <c r="I14" s="39">
        <v>1090</v>
      </c>
      <c r="J14" s="39">
        <v>3</v>
      </c>
      <c r="K14" s="39">
        <v>40</v>
      </c>
      <c r="L14" s="117">
        <v>34630</v>
      </c>
      <c r="M14" s="118">
        <v>0.33857043692500222</v>
      </c>
      <c r="N14" s="99">
        <v>3.7242748061750244</v>
      </c>
    </row>
    <row r="15" spans="1:14" ht="20.5" customHeight="1">
      <c r="A15" s="39" t="s">
        <v>2</v>
      </c>
      <c r="B15" s="39" t="s">
        <v>1203</v>
      </c>
      <c r="C15" s="127" t="s">
        <v>1252</v>
      </c>
      <c r="D15" s="39">
        <v>1354</v>
      </c>
      <c r="E15" s="39">
        <v>39468</v>
      </c>
      <c r="F15" s="29"/>
      <c r="G15" s="29"/>
      <c r="H15" s="39">
        <v>204</v>
      </c>
      <c r="I15" s="39">
        <v>3420</v>
      </c>
      <c r="J15" s="39">
        <v>11</v>
      </c>
      <c r="K15" s="39">
        <v>170</v>
      </c>
      <c r="L15" s="117">
        <v>43058</v>
      </c>
      <c r="M15" s="118">
        <v>0.42096927153094843</v>
      </c>
      <c r="N15" s="99">
        <v>4.6306619868404324</v>
      </c>
    </row>
    <row r="16" spans="1:14" ht="20.5" customHeight="1">
      <c r="A16" s="39" t="s">
        <v>2</v>
      </c>
      <c r="B16" s="39" t="s">
        <v>1203</v>
      </c>
      <c r="C16" s="127" t="s">
        <v>1253</v>
      </c>
      <c r="D16" s="39">
        <v>175</v>
      </c>
      <c r="E16" s="39">
        <v>2450</v>
      </c>
      <c r="F16" s="29"/>
      <c r="G16" s="29"/>
      <c r="H16" s="39">
        <v>0</v>
      </c>
      <c r="I16" s="39">
        <v>0</v>
      </c>
      <c r="J16" s="39">
        <v>0</v>
      </c>
      <c r="K16" s="39">
        <v>0</v>
      </c>
      <c r="L16" s="117">
        <v>2450</v>
      </c>
      <c r="M16" s="118">
        <v>2.3953149594751817E-2</v>
      </c>
      <c r="N16" s="99">
        <v>0.26348464554226997</v>
      </c>
    </row>
    <row r="17" spans="1:14" ht="20.5" customHeight="1">
      <c r="A17" s="39" t="s">
        <v>2</v>
      </c>
      <c r="B17" s="39" t="s">
        <v>1204</v>
      </c>
      <c r="C17" s="127" t="s">
        <v>1248</v>
      </c>
      <c r="D17" s="39">
        <v>408</v>
      </c>
      <c r="E17" s="39">
        <v>10200</v>
      </c>
      <c r="F17" s="29"/>
      <c r="G17" s="29"/>
      <c r="H17" s="39">
        <v>89</v>
      </c>
      <c r="I17" s="39">
        <v>890</v>
      </c>
      <c r="J17" s="39">
        <v>13</v>
      </c>
      <c r="K17" s="39">
        <v>165</v>
      </c>
      <c r="L17" s="117">
        <v>11255</v>
      </c>
      <c r="M17" s="118">
        <v>9.6904731155021739E-2</v>
      </c>
      <c r="N17" s="99">
        <v>1.0659520427052391</v>
      </c>
    </row>
    <row r="18" spans="1:14" ht="20.5" customHeight="1">
      <c r="A18" s="39" t="s">
        <v>2</v>
      </c>
      <c r="B18" s="39" t="s">
        <v>1204</v>
      </c>
      <c r="C18" s="127" t="s">
        <v>1247</v>
      </c>
      <c r="D18" s="39">
        <v>239</v>
      </c>
      <c r="E18" s="39">
        <v>4541</v>
      </c>
      <c r="F18" s="29"/>
      <c r="G18" s="29"/>
      <c r="H18" s="39">
        <v>30</v>
      </c>
      <c r="I18" s="39">
        <v>320</v>
      </c>
      <c r="J18" s="39">
        <v>6</v>
      </c>
      <c r="K18" s="39">
        <v>90</v>
      </c>
      <c r="L18" s="117">
        <v>4951</v>
      </c>
      <c r="M18" s="118">
        <v>4.262774979551423E-2</v>
      </c>
      <c r="N18" s="99">
        <v>0.46890524775065656</v>
      </c>
    </row>
    <row r="19" spans="1:14" ht="20.5" customHeight="1">
      <c r="A19" s="39" t="s">
        <v>2</v>
      </c>
      <c r="B19" s="39" t="s">
        <v>1204</v>
      </c>
      <c r="C19" s="127" t="s">
        <v>1250</v>
      </c>
      <c r="D19" s="39">
        <v>214</v>
      </c>
      <c r="E19" s="39">
        <v>5778</v>
      </c>
      <c r="F19" s="30"/>
      <c r="G19" s="29"/>
      <c r="H19" s="39">
        <v>131</v>
      </c>
      <c r="I19" s="39">
        <v>1382</v>
      </c>
      <c r="J19" s="39">
        <v>39</v>
      </c>
      <c r="K19" s="39">
        <v>220</v>
      </c>
      <c r="L19" s="117">
        <v>7380</v>
      </c>
      <c r="M19" s="118">
        <v>6.3541263076327001E-2</v>
      </c>
      <c r="N19" s="99">
        <v>0.69895389383959705</v>
      </c>
    </row>
    <row r="20" spans="1:14" ht="20.5" customHeight="1">
      <c r="A20" s="39" t="s">
        <v>2</v>
      </c>
      <c r="B20" s="39" t="s">
        <v>1204</v>
      </c>
      <c r="C20" s="127" t="s">
        <v>1249</v>
      </c>
      <c r="D20" s="39">
        <v>141</v>
      </c>
      <c r="E20" s="39">
        <v>2679</v>
      </c>
      <c r="F20" s="29"/>
      <c r="G20" s="29"/>
      <c r="H20" s="39">
        <v>12</v>
      </c>
      <c r="I20" s="39">
        <v>80</v>
      </c>
      <c r="J20" s="39">
        <v>15</v>
      </c>
      <c r="K20" s="39">
        <v>75</v>
      </c>
      <c r="L20" s="117">
        <v>2834</v>
      </c>
      <c r="M20" s="118">
        <v>2.4400533815489258E-2</v>
      </c>
      <c r="N20" s="99">
        <v>0.26840587197038185</v>
      </c>
    </row>
    <row r="21" spans="1:14" ht="20.5" customHeight="1">
      <c r="A21" s="39" t="s">
        <v>2</v>
      </c>
      <c r="B21" s="39" t="s">
        <v>1204</v>
      </c>
      <c r="C21" s="127" t="s">
        <v>1251</v>
      </c>
      <c r="D21" s="39">
        <v>2125</v>
      </c>
      <c r="E21" s="39">
        <v>36125</v>
      </c>
      <c r="F21" s="29">
        <v>73</v>
      </c>
      <c r="G21" s="29">
        <v>730</v>
      </c>
      <c r="H21" s="39">
        <v>166</v>
      </c>
      <c r="I21" s="39">
        <v>1135</v>
      </c>
      <c r="J21" s="39">
        <v>2</v>
      </c>
      <c r="K21" s="39">
        <v>10</v>
      </c>
      <c r="L21" s="117">
        <v>38000</v>
      </c>
      <c r="M21" s="118">
        <v>0.32717723535236126</v>
      </c>
      <c r="N21" s="99">
        <v>3.5989495888759739</v>
      </c>
    </row>
    <row r="22" spans="1:14" ht="20.5" customHeight="1">
      <c r="A22" s="39" t="s">
        <v>2</v>
      </c>
      <c r="B22" s="39" t="s">
        <v>1204</v>
      </c>
      <c r="C22" s="127" t="s">
        <v>1252</v>
      </c>
      <c r="D22" s="39">
        <v>1568</v>
      </c>
      <c r="E22" s="39">
        <v>45574</v>
      </c>
      <c r="F22" s="29"/>
      <c r="G22" s="29"/>
      <c r="H22" s="39">
        <v>204</v>
      </c>
      <c r="I22" s="39">
        <v>3300</v>
      </c>
      <c r="J22" s="39">
        <v>3</v>
      </c>
      <c r="K22" s="39">
        <v>65</v>
      </c>
      <c r="L22" s="117">
        <v>48939</v>
      </c>
      <c r="M22" s="118">
        <v>0.42136122949761073</v>
      </c>
      <c r="N22" s="99">
        <v>4.6349735244737182</v>
      </c>
    </row>
    <row r="23" spans="1:14" ht="20.5" customHeight="1">
      <c r="A23" s="39" t="s">
        <v>2</v>
      </c>
      <c r="B23" s="39" t="s">
        <v>1204</v>
      </c>
      <c r="C23" s="127" t="s">
        <v>1253</v>
      </c>
      <c r="D23" s="39">
        <v>199</v>
      </c>
      <c r="E23" s="39">
        <v>2786</v>
      </c>
      <c r="F23" s="29"/>
      <c r="G23" s="29"/>
      <c r="H23" s="39">
        <v>0</v>
      </c>
      <c r="I23" s="39">
        <v>0</v>
      </c>
      <c r="J23" s="39">
        <v>0</v>
      </c>
      <c r="K23" s="39">
        <v>0</v>
      </c>
      <c r="L23" s="117">
        <v>2786</v>
      </c>
      <c r="M23" s="118">
        <v>2.3987257307675751E-2</v>
      </c>
      <c r="N23" s="99">
        <v>0.26385983038443328</v>
      </c>
    </row>
    <row r="24" spans="1:14" ht="20.5" customHeight="1">
      <c r="A24" s="39" t="s">
        <v>2</v>
      </c>
      <c r="B24" s="39" t="s">
        <v>1205</v>
      </c>
      <c r="C24" s="127" t="s">
        <v>1248</v>
      </c>
      <c r="D24" s="39">
        <v>390</v>
      </c>
      <c r="E24" s="39">
        <v>9750</v>
      </c>
      <c r="F24" s="29"/>
      <c r="G24" s="29"/>
      <c r="H24" s="39">
        <v>70</v>
      </c>
      <c r="I24" s="39">
        <v>700</v>
      </c>
      <c r="J24" s="39">
        <v>17</v>
      </c>
      <c r="K24" s="39">
        <v>165</v>
      </c>
      <c r="L24" s="117">
        <v>10615</v>
      </c>
      <c r="M24" s="118">
        <v>8.9759092177471869E-2</v>
      </c>
      <c r="N24" s="99">
        <v>0.98735001395219057</v>
      </c>
    </row>
    <row r="25" spans="1:14" ht="20.5" customHeight="1">
      <c r="A25" s="39" t="s">
        <v>2</v>
      </c>
      <c r="B25" s="39" t="s">
        <v>1205</v>
      </c>
      <c r="C25" s="127" t="s">
        <v>1247</v>
      </c>
      <c r="D25" s="39">
        <v>252</v>
      </c>
      <c r="E25" s="39">
        <v>4788</v>
      </c>
      <c r="F25" s="29"/>
      <c r="G25" s="29"/>
      <c r="H25" s="39">
        <v>23</v>
      </c>
      <c r="I25" s="39">
        <v>250</v>
      </c>
      <c r="J25" s="39">
        <v>8</v>
      </c>
      <c r="K25" s="39">
        <v>155</v>
      </c>
      <c r="L25" s="117">
        <v>5193</v>
      </c>
      <c r="M25" s="118">
        <v>4.3911348627189012E-2</v>
      </c>
      <c r="N25" s="99">
        <v>0.4830248348990791</v>
      </c>
    </row>
    <row r="26" spans="1:14" ht="20.5" customHeight="1">
      <c r="A26" s="39" t="s">
        <v>2</v>
      </c>
      <c r="B26" s="39" t="s">
        <v>1205</v>
      </c>
      <c r="C26" s="127" t="s">
        <v>1250</v>
      </c>
      <c r="D26" s="39">
        <v>177</v>
      </c>
      <c r="E26" s="39">
        <v>4779</v>
      </c>
      <c r="F26" s="30"/>
      <c r="G26" s="29"/>
      <c r="H26" s="39">
        <v>170</v>
      </c>
      <c r="I26" s="39">
        <v>1794</v>
      </c>
      <c r="J26" s="39">
        <v>32</v>
      </c>
      <c r="K26" s="39">
        <v>160</v>
      </c>
      <c r="L26" s="117">
        <v>6733</v>
      </c>
      <c r="M26" s="118">
        <v>5.6933393088169387E-2</v>
      </c>
      <c r="N26" s="99">
        <v>0.62626732396986329</v>
      </c>
    </row>
    <row r="27" spans="1:14" ht="20.5" customHeight="1">
      <c r="A27" s="39" t="s">
        <v>2</v>
      </c>
      <c r="B27" s="39" t="s">
        <v>1205</v>
      </c>
      <c r="C27" s="127" t="s">
        <v>1249</v>
      </c>
      <c r="D27" s="39">
        <v>138</v>
      </c>
      <c r="E27" s="39">
        <v>2622</v>
      </c>
      <c r="F27" s="29">
        <v>1</v>
      </c>
      <c r="G27" s="29">
        <v>10</v>
      </c>
      <c r="H27" s="39">
        <v>16</v>
      </c>
      <c r="I27" s="39">
        <v>110</v>
      </c>
      <c r="J27" s="39">
        <v>6</v>
      </c>
      <c r="K27" s="39">
        <v>70</v>
      </c>
      <c r="L27" s="117">
        <v>2812</v>
      </c>
      <c r="M27" s="118">
        <v>2.3777914950829097E-2</v>
      </c>
      <c r="N27" s="99">
        <v>0.26155706445912008</v>
      </c>
    </row>
    <row r="28" spans="1:14" ht="20.5" customHeight="1">
      <c r="A28" s="39" t="s">
        <v>2</v>
      </c>
      <c r="B28" s="39" t="s">
        <v>1205</v>
      </c>
      <c r="C28" s="127" t="s">
        <v>1251</v>
      </c>
      <c r="D28" s="39">
        <v>2287</v>
      </c>
      <c r="E28" s="39">
        <v>38879</v>
      </c>
      <c r="F28" s="29">
        <v>81</v>
      </c>
      <c r="G28" s="29">
        <v>810</v>
      </c>
      <c r="H28" s="39">
        <v>150</v>
      </c>
      <c r="I28" s="39">
        <v>1115</v>
      </c>
      <c r="J28" s="39">
        <v>0</v>
      </c>
      <c r="K28" s="39">
        <v>0</v>
      </c>
      <c r="L28" s="117">
        <v>40804</v>
      </c>
      <c r="M28" s="118">
        <v>0.34503344297782024</v>
      </c>
      <c r="N28" s="99">
        <v>3.7953678727560227</v>
      </c>
    </row>
    <row r="29" spans="1:14" ht="20.5" customHeight="1">
      <c r="A29" s="39" t="s">
        <v>2</v>
      </c>
      <c r="B29" s="39" t="s">
        <v>1205</v>
      </c>
      <c r="C29" s="127" t="s">
        <v>1252</v>
      </c>
      <c r="D29" s="39">
        <v>1558</v>
      </c>
      <c r="E29" s="39">
        <v>45332</v>
      </c>
      <c r="F29" s="96"/>
      <c r="G29" s="96"/>
      <c r="H29" s="39">
        <v>237</v>
      </c>
      <c r="I29" s="39">
        <v>3980</v>
      </c>
      <c r="J29" s="39">
        <v>2</v>
      </c>
      <c r="K29" s="39">
        <v>20</v>
      </c>
      <c r="L29" s="117">
        <v>49332</v>
      </c>
      <c r="M29" s="118">
        <v>0.41714512814875571</v>
      </c>
      <c r="N29" s="99">
        <v>4.5885964096363132</v>
      </c>
    </row>
    <row r="30" spans="1:14" ht="20.5" customHeight="1">
      <c r="A30" s="39" t="s">
        <v>2</v>
      </c>
      <c r="B30" s="39" t="s">
        <v>1205</v>
      </c>
      <c r="C30" s="127" t="s">
        <v>1253</v>
      </c>
      <c r="D30" s="39">
        <v>198</v>
      </c>
      <c r="E30" s="39">
        <v>2772</v>
      </c>
      <c r="F30" s="96"/>
      <c r="G30" s="96"/>
      <c r="H30" s="39">
        <v>0</v>
      </c>
      <c r="I30" s="39">
        <v>0</v>
      </c>
      <c r="J30" s="39">
        <v>0</v>
      </c>
      <c r="K30" s="39">
        <v>0</v>
      </c>
      <c r="L30" s="117">
        <v>2772</v>
      </c>
      <c r="M30" s="118">
        <v>2.3439680029764674E-2</v>
      </c>
      <c r="N30" s="99">
        <v>0.25783648032741141</v>
      </c>
    </row>
    <row r="31" spans="1:14" hidden="1">
      <c r="A31" s="94" t="s">
        <v>1</v>
      </c>
      <c r="B31" s="39" t="s">
        <v>1202</v>
      </c>
      <c r="C31" s="95" t="s">
        <v>1248</v>
      </c>
      <c r="D31" s="96">
        <v>288</v>
      </c>
      <c r="E31" s="96">
        <v>6912</v>
      </c>
      <c r="F31" s="96"/>
      <c r="G31" s="96"/>
      <c r="H31" s="96">
        <v>23</v>
      </c>
      <c r="I31" s="96">
        <v>230</v>
      </c>
      <c r="J31" s="96">
        <v>10</v>
      </c>
      <c r="K31" s="96">
        <v>75</v>
      </c>
      <c r="L31" s="97">
        <f>E31+G31+I31+K31</f>
        <v>7217</v>
      </c>
      <c r="M31" s="98">
        <f t="shared" ref="M31:M37" si="0">IF(L31="","",IFERROR(L31/SUMIFS($L:$L,$A:$A,A31,$B:$B,B31),""))</f>
        <v>7.4823231799614323E-2</v>
      </c>
      <c r="N31" s="99">
        <f>M31*22</f>
        <v>1.6461110995915151</v>
      </c>
    </row>
    <row r="32" spans="1:14" hidden="1">
      <c r="A32" s="94" t="s">
        <v>1</v>
      </c>
      <c r="B32" s="39" t="s">
        <v>1202</v>
      </c>
      <c r="C32" s="95" t="s">
        <v>1247</v>
      </c>
      <c r="D32" s="96">
        <v>290</v>
      </c>
      <c r="E32" s="96">
        <v>4930</v>
      </c>
      <c r="F32" s="96"/>
      <c r="G32" s="96"/>
      <c r="H32" s="96">
        <v>383</v>
      </c>
      <c r="I32" s="96">
        <v>3645</v>
      </c>
      <c r="J32" s="96">
        <v>8</v>
      </c>
      <c r="K32" s="96">
        <v>75</v>
      </c>
      <c r="L32" s="97">
        <f t="shared" ref="L32:L58" si="1">E32+G32+I32+K32</f>
        <v>8650</v>
      </c>
      <c r="M32" s="98">
        <f t="shared" si="0"/>
        <v>8.9680054741120119E-2</v>
      </c>
      <c r="N32" s="99">
        <f t="shared" ref="N32:N58" si="2">M32*22</f>
        <v>1.9729612043046427</v>
      </c>
    </row>
    <row r="33" spans="1:14" hidden="1">
      <c r="A33" s="94" t="s">
        <v>1</v>
      </c>
      <c r="B33" s="39" t="s">
        <v>1202</v>
      </c>
      <c r="C33" s="95" t="s">
        <v>1250</v>
      </c>
      <c r="D33" s="96">
        <v>246</v>
      </c>
      <c r="E33" s="96">
        <v>6396</v>
      </c>
      <c r="F33" s="96"/>
      <c r="G33" s="96"/>
      <c r="H33" s="96">
        <v>82</v>
      </c>
      <c r="I33" s="96">
        <v>1880</v>
      </c>
      <c r="J33" s="96">
        <v>39</v>
      </c>
      <c r="K33" s="96">
        <v>195</v>
      </c>
      <c r="L33" s="97">
        <f t="shared" si="1"/>
        <v>8471</v>
      </c>
      <c r="M33" s="98">
        <f t="shared" si="0"/>
        <v>8.7824247827980179E-2</v>
      </c>
      <c r="N33" s="99">
        <f t="shared" si="2"/>
        <v>1.932133452215564</v>
      </c>
    </row>
    <row r="34" spans="1:14" hidden="1">
      <c r="A34" s="94" t="s">
        <v>1</v>
      </c>
      <c r="B34" s="39" t="s">
        <v>1202</v>
      </c>
      <c r="C34" s="95" t="s">
        <v>1249</v>
      </c>
      <c r="D34" s="96">
        <v>134</v>
      </c>
      <c r="E34" s="96">
        <v>2412</v>
      </c>
      <c r="F34" s="96"/>
      <c r="G34" s="96"/>
      <c r="H34" s="96">
        <v>18</v>
      </c>
      <c r="I34" s="96">
        <v>175</v>
      </c>
      <c r="J34" s="96">
        <v>26</v>
      </c>
      <c r="K34" s="96">
        <v>155</v>
      </c>
      <c r="L34" s="97">
        <f t="shared" si="1"/>
        <v>2742</v>
      </c>
      <c r="M34" s="98">
        <f t="shared" si="0"/>
        <v>2.8428058971115763E-2</v>
      </c>
      <c r="N34" s="99">
        <f t="shared" si="2"/>
        <v>0.62541729736454676</v>
      </c>
    </row>
    <row r="35" spans="1:14" hidden="1">
      <c r="A35" s="94" t="s">
        <v>1</v>
      </c>
      <c r="B35" s="39" t="s">
        <v>1202</v>
      </c>
      <c r="C35" s="100" t="s">
        <v>1251</v>
      </c>
      <c r="D35" s="96">
        <v>1837</v>
      </c>
      <c r="E35" s="96">
        <v>31229</v>
      </c>
      <c r="F35" s="101">
        <v>86</v>
      </c>
      <c r="G35" s="96">
        <v>860</v>
      </c>
      <c r="H35" s="96">
        <v>1244</v>
      </c>
      <c r="I35" s="96">
        <v>-5385</v>
      </c>
      <c r="J35" s="96">
        <v>0</v>
      </c>
      <c r="K35" s="96">
        <v>0</v>
      </c>
      <c r="L35" s="97">
        <f t="shared" si="1"/>
        <v>26704</v>
      </c>
      <c r="M35" s="98">
        <f t="shared" si="0"/>
        <v>0.2768573620585979</v>
      </c>
      <c r="N35" s="99">
        <f t="shared" si="2"/>
        <v>6.0908619652891538</v>
      </c>
    </row>
    <row r="36" spans="1:14" hidden="1">
      <c r="A36" s="94" t="s">
        <v>1</v>
      </c>
      <c r="B36" s="39" t="s">
        <v>1202</v>
      </c>
      <c r="C36" s="100" t="s">
        <v>1252</v>
      </c>
      <c r="D36" s="96">
        <v>1467</v>
      </c>
      <c r="E36" s="96">
        <v>39705</v>
      </c>
      <c r="F36" s="96"/>
      <c r="G36" s="96"/>
      <c r="H36" s="96">
        <v>61</v>
      </c>
      <c r="I36" s="96">
        <v>605</v>
      </c>
      <c r="J36" s="96">
        <v>5</v>
      </c>
      <c r="K36" s="96">
        <v>150</v>
      </c>
      <c r="L36" s="97">
        <f t="shared" si="1"/>
        <v>40460</v>
      </c>
      <c r="M36" s="98">
        <f t="shared" si="0"/>
        <v>0.41947456818794449</v>
      </c>
      <c r="N36" s="99">
        <f t="shared" si="2"/>
        <v>9.2284405001347789</v>
      </c>
    </row>
    <row r="37" spans="1:14" hidden="1">
      <c r="A37" s="94" t="s">
        <v>1</v>
      </c>
      <c r="B37" s="39" t="s">
        <v>1202</v>
      </c>
      <c r="C37" s="100" t="s">
        <v>1253</v>
      </c>
      <c r="D37" s="96">
        <v>170</v>
      </c>
      <c r="E37" s="96">
        <v>2210</v>
      </c>
      <c r="F37" s="96"/>
      <c r="G37" s="96"/>
      <c r="H37" s="96">
        <v>0</v>
      </c>
      <c r="I37" s="96">
        <v>0</v>
      </c>
      <c r="J37" s="96">
        <v>0</v>
      </c>
      <c r="K37" s="96">
        <v>0</v>
      </c>
      <c r="L37" s="97">
        <f t="shared" si="1"/>
        <v>2210</v>
      </c>
      <c r="M37" s="98">
        <f t="shared" si="0"/>
        <v>2.291247641362722E-2</v>
      </c>
      <c r="N37" s="99">
        <f t="shared" si="2"/>
        <v>0.5040744810997988</v>
      </c>
    </row>
    <row r="38" spans="1:14" hidden="1">
      <c r="A38" s="94" t="s">
        <v>1</v>
      </c>
      <c r="B38" s="39" t="s">
        <v>1203</v>
      </c>
      <c r="C38" s="95" t="s">
        <v>1248</v>
      </c>
      <c r="D38" s="96">
        <v>271</v>
      </c>
      <c r="E38" s="96">
        <v>6504</v>
      </c>
      <c r="F38" s="96"/>
      <c r="G38" s="96"/>
      <c r="H38" s="96">
        <v>25</v>
      </c>
      <c r="I38" s="96">
        <v>250</v>
      </c>
      <c r="J38" s="96">
        <v>5</v>
      </c>
      <c r="K38" s="96">
        <v>25</v>
      </c>
      <c r="L38" s="97">
        <f t="shared" si="1"/>
        <v>6779</v>
      </c>
      <c r="M38" s="98">
        <f>IF(L38="","",IFERROR(L38/SUMIFS($L:$L,$A:$A,A38,$B:$B,B38),""))</f>
        <v>7.3213668567478837E-2</v>
      </c>
      <c r="N38" s="99">
        <f t="shared" si="2"/>
        <v>1.6107007084845344</v>
      </c>
    </row>
    <row r="39" spans="1:14" hidden="1">
      <c r="A39" s="94" t="s">
        <v>1</v>
      </c>
      <c r="B39" s="39" t="s">
        <v>1203</v>
      </c>
      <c r="C39" s="95" t="s">
        <v>1247</v>
      </c>
      <c r="D39" s="96">
        <v>211</v>
      </c>
      <c r="E39" s="96">
        <v>3587</v>
      </c>
      <c r="F39" s="96"/>
      <c r="G39" s="96"/>
      <c r="H39" s="96">
        <v>401</v>
      </c>
      <c r="I39" s="96">
        <v>3805</v>
      </c>
      <c r="J39" s="96">
        <v>12</v>
      </c>
      <c r="K39" s="96">
        <v>160</v>
      </c>
      <c r="L39" s="97">
        <f t="shared" si="1"/>
        <v>7552</v>
      </c>
      <c r="M39" s="98">
        <f t="shared" ref="M39:M44" si="3">IF(L39="","",IFERROR(L39/SUMIFS($L:$L,$A:$A,A39,$B:$B,B39),""))</f>
        <v>8.1562121997580783E-2</v>
      </c>
      <c r="N39" s="99">
        <f t="shared" si="2"/>
        <v>1.7943666839467771</v>
      </c>
    </row>
    <row r="40" spans="1:14" hidden="1">
      <c r="A40" s="94" t="s">
        <v>1</v>
      </c>
      <c r="B40" s="39" t="s">
        <v>1203</v>
      </c>
      <c r="C40" s="95" t="s">
        <v>1250</v>
      </c>
      <c r="D40" s="96">
        <v>208</v>
      </c>
      <c r="E40" s="96">
        <v>5408</v>
      </c>
      <c r="F40" s="96"/>
      <c r="G40" s="96"/>
      <c r="H40" s="96">
        <v>96</v>
      </c>
      <c r="I40" s="96">
        <v>2240</v>
      </c>
      <c r="J40" s="96">
        <v>45</v>
      </c>
      <c r="K40" s="96">
        <v>225</v>
      </c>
      <c r="L40" s="97">
        <f t="shared" si="1"/>
        <v>7873</v>
      </c>
      <c r="M40" s="98">
        <f t="shared" si="3"/>
        <v>8.5028944185242789E-2</v>
      </c>
      <c r="N40" s="99">
        <f t="shared" si="2"/>
        <v>1.8706367720753414</v>
      </c>
    </row>
    <row r="41" spans="1:14" hidden="1">
      <c r="A41" s="94" t="s">
        <v>1</v>
      </c>
      <c r="B41" s="39" t="s">
        <v>1203</v>
      </c>
      <c r="C41" s="95" t="s">
        <v>1249</v>
      </c>
      <c r="D41" s="96">
        <v>129</v>
      </c>
      <c r="E41" s="96">
        <v>2322</v>
      </c>
      <c r="F41" s="96"/>
      <c r="G41" s="96"/>
      <c r="H41" s="96">
        <v>22</v>
      </c>
      <c r="I41" s="96">
        <v>205</v>
      </c>
      <c r="J41" s="96">
        <v>28</v>
      </c>
      <c r="K41" s="96">
        <v>140</v>
      </c>
      <c r="L41" s="97">
        <f t="shared" si="1"/>
        <v>2667</v>
      </c>
      <c r="M41" s="98">
        <f t="shared" si="3"/>
        <v>2.8803784344219804E-2</v>
      </c>
      <c r="N41" s="99">
        <f t="shared" si="2"/>
        <v>0.63368325557283567</v>
      </c>
    </row>
    <row r="42" spans="1:14" hidden="1">
      <c r="A42" s="94" t="s">
        <v>1</v>
      </c>
      <c r="B42" s="39" t="s">
        <v>1203</v>
      </c>
      <c r="C42" s="100" t="s">
        <v>1251</v>
      </c>
      <c r="D42" s="96">
        <v>1919</v>
      </c>
      <c r="E42" s="96">
        <v>32623</v>
      </c>
      <c r="F42" s="101">
        <v>67</v>
      </c>
      <c r="G42" s="96">
        <v>670</v>
      </c>
      <c r="H42" s="96">
        <v>1280</v>
      </c>
      <c r="I42" s="96">
        <v>-5563</v>
      </c>
      <c r="J42" s="96">
        <v>2</v>
      </c>
      <c r="K42" s="96">
        <v>10</v>
      </c>
      <c r="L42" s="97">
        <f t="shared" si="1"/>
        <v>27740</v>
      </c>
      <c r="M42" s="98">
        <f t="shared" si="3"/>
        <v>0.29959391740107139</v>
      </c>
      <c r="N42" s="99">
        <f t="shared" si="2"/>
        <v>6.5910661828235702</v>
      </c>
    </row>
    <row r="43" spans="1:14" hidden="1">
      <c r="A43" s="94" t="s">
        <v>1</v>
      </c>
      <c r="B43" s="39" t="s">
        <v>1203</v>
      </c>
      <c r="C43" s="100" t="s">
        <v>1252</v>
      </c>
      <c r="D43" s="96">
        <v>1354</v>
      </c>
      <c r="E43" s="96">
        <v>36726</v>
      </c>
      <c r="F43" s="96"/>
      <c r="G43" s="96"/>
      <c r="H43" s="96">
        <v>77</v>
      </c>
      <c r="I43" s="96">
        <v>710</v>
      </c>
      <c r="J43" s="96">
        <v>9</v>
      </c>
      <c r="K43" s="96">
        <v>270</v>
      </c>
      <c r="L43" s="97">
        <f t="shared" si="1"/>
        <v>37706</v>
      </c>
      <c r="M43" s="98">
        <f t="shared" si="3"/>
        <v>0.40722740625540005</v>
      </c>
      <c r="N43" s="99">
        <f t="shared" si="2"/>
        <v>8.9590029376188003</v>
      </c>
    </row>
    <row r="44" spans="1:14" hidden="1">
      <c r="A44" s="94" t="s">
        <v>1</v>
      </c>
      <c r="B44" s="39" t="s">
        <v>1203</v>
      </c>
      <c r="C44" s="100" t="s">
        <v>1253</v>
      </c>
      <c r="D44" s="96">
        <v>175</v>
      </c>
      <c r="E44" s="96">
        <v>2275</v>
      </c>
      <c r="F44" s="96"/>
      <c r="G44" s="96"/>
      <c r="H44" s="96">
        <v>0</v>
      </c>
      <c r="I44" s="96">
        <v>0</v>
      </c>
      <c r="J44" s="96">
        <v>0</v>
      </c>
      <c r="K44" s="96">
        <v>0</v>
      </c>
      <c r="L44" s="97">
        <f t="shared" si="1"/>
        <v>2275</v>
      </c>
      <c r="M44" s="98">
        <f t="shared" si="3"/>
        <v>2.4570157249006394E-2</v>
      </c>
      <c r="N44" s="99">
        <f t="shared" si="2"/>
        <v>0.54054345947814064</v>
      </c>
    </row>
    <row r="45" spans="1:14" hidden="1">
      <c r="A45" s="94" t="s">
        <v>1</v>
      </c>
      <c r="B45" s="39" t="s">
        <v>1204</v>
      </c>
      <c r="C45" s="100" t="s">
        <v>1248</v>
      </c>
      <c r="D45" s="29">
        <v>399</v>
      </c>
      <c r="E45" s="29">
        <v>9576</v>
      </c>
      <c r="F45" s="29"/>
      <c r="G45" s="29"/>
      <c r="H45" s="29">
        <v>75</v>
      </c>
      <c r="I45" s="29">
        <v>750</v>
      </c>
      <c r="J45" s="29">
        <v>12</v>
      </c>
      <c r="K45" s="29">
        <v>160</v>
      </c>
      <c r="L45" s="97">
        <f t="shared" si="1"/>
        <v>10486</v>
      </c>
      <c r="M45" s="98">
        <f>IF(L45="","",IFERROR(L45/SUMIFS($L:$L,$A:$A,A45,$B:$B,B45),""))</f>
        <v>9.8516521199936119E-2</v>
      </c>
      <c r="N45" s="99">
        <f t="shared" si="2"/>
        <v>2.1673634663985948</v>
      </c>
    </row>
    <row r="46" spans="1:14" hidden="1">
      <c r="A46" s="94" t="s">
        <v>1</v>
      </c>
      <c r="B46" s="39" t="s">
        <v>1204</v>
      </c>
      <c r="C46" s="100" t="s">
        <v>1247</v>
      </c>
      <c r="D46" s="29">
        <v>239</v>
      </c>
      <c r="E46" s="29">
        <v>4063</v>
      </c>
      <c r="F46" s="29"/>
      <c r="G46" s="29"/>
      <c r="H46" s="29">
        <v>440</v>
      </c>
      <c r="I46" s="29">
        <v>4125</v>
      </c>
      <c r="J46" s="29">
        <v>7</v>
      </c>
      <c r="K46" s="29">
        <v>95</v>
      </c>
      <c r="L46" s="97">
        <f t="shared" si="1"/>
        <v>8283</v>
      </c>
      <c r="M46" s="98">
        <f t="shared" ref="M46:M50" si="4">IF(L46="","",IFERROR(L46/SUMIFS($L:$L,$A:$A,A46,$B:$B,B46),""))</f>
        <v>7.7819220398538128E-2</v>
      </c>
      <c r="N46" s="99">
        <f t="shared" si="2"/>
        <v>1.7120228487678388</v>
      </c>
    </row>
    <row r="47" spans="1:14" hidden="1">
      <c r="A47" s="94" t="s">
        <v>1</v>
      </c>
      <c r="B47" s="39" t="s">
        <v>1204</v>
      </c>
      <c r="C47" s="100" t="s">
        <v>1250</v>
      </c>
      <c r="D47" s="29">
        <v>215</v>
      </c>
      <c r="E47" s="29">
        <v>5590</v>
      </c>
      <c r="F47" s="29"/>
      <c r="G47" s="29"/>
      <c r="H47" s="29">
        <v>88</v>
      </c>
      <c r="I47" s="29">
        <v>1960</v>
      </c>
      <c r="J47" s="29">
        <v>40</v>
      </c>
      <c r="K47" s="29">
        <v>200</v>
      </c>
      <c r="L47" s="97">
        <f t="shared" si="1"/>
        <v>7750</v>
      </c>
      <c r="M47" s="98">
        <f t="shared" si="4"/>
        <v>7.2811657381223041E-2</v>
      </c>
      <c r="N47" s="99">
        <f t="shared" si="2"/>
        <v>1.6018564623869069</v>
      </c>
    </row>
    <row r="48" spans="1:14" hidden="1">
      <c r="A48" s="94" t="s">
        <v>1</v>
      </c>
      <c r="B48" s="39" t="s">
        <v>1204</v>
      </c>
      <c r="C48" s="100" t="s">
        <v>1249</v>
      </c>
      <c r="D48" s="29">
        <v>141</v>
      </c>
      <c r="E48" s="29">
        <v>2538</v>
      </c>
      <c r="F48" s="29"/>
      <c r="G48" s="29"/>
      <c r="H48" s="29">
        <v>20</v>
      </c>
      <c r="I48" s="29">
        <v>195</v>
      </c>
      <c r="J48" s="29">
        <v>23</v>
      </c>
      <c r="K48" s="29">
        <v>115</v>
      </c>
      <c r="L48" s="97">
        <f t="shared" si="1"/>
        <v>2848</v>
      </c>
      <c r="M48" s="98">
        <f t="shared" si="4"/>
        <v>2.6757109706028806E-2</v>
      </c>
      <c r="N48" s="99">
        <f t="shared" si="2"/>
        <v>0.58865641353263376</v>
      </c>
    </row>
    <row r="49" spans="1:14" hidden="1">
      <c r="A49" s="94" t="s">
        <v>1</v>
      </c>
      <c r="B49" s="39" t="s">
        <v>1204</v>
      </c>
      <c r="C49" s="100" t="s">
        <v>1251</v>
      </c>
      <c r="D49" s="29">
        <v>2123</v>
      </c>
      <c r="E49" s="29">
        <v>36091</v>
      </c>
      <c r="F49" s="30">
        <v>61</v>
      </c>
      <c r="G49" s="29">
        <v>610</v>
      </c>
      <c r="H49" s="29">
        <v>1360</v>
      </c>
      <c r="I49" s="29">
        <v>-5729</v>
      </c>
      <c r="J49" s="29">
        <v>1</v>
      </c>
      <c r="K49" s="29">
        <v>5</v>
      </c>
      <c r="L49" s="97">
        <f t="shared" si="1"/>
        <v>30977</v>
      </c>
      <c r="M49" s="98">
        <f t="shared" si="4"/>
        <v>0.29103054331588984</v>
      </c>
      <c r="N49" s="99">
        <f t="shared" si="2"/>
        <v>6.4026719529495768</v>
      </c>
    </row>
    <row r="50" spans="1:14" hidden="1">
      <c r="A50" s="94" t="s">
        <v>1</v>
      </c>
      <c r="B50" s="39" t="s">
        <v>1204</v>
      </c>
      <c r="C50" s="100" t="s">
        <v>1252</v>
      </c>
      <c r="D50" s="29">
        <v>1568</v>
      </c>
      <c r="E50" s="29">
        <v>42641</v>
      </c>
      <c r="F50" s="29"/>
      <c r="G50" s="29"/>
      <c r="H50" s="29">
        <v>76</v>
      </c>
      <c r="I50" s="29">
        <v>760</v>
      </c>
      <c r="J50" s="29">
        <v>4</v>
      </c>
      <c r="K50" s="29">
        <v>120</v>
      </c>
      <c r="L50" s="97">
        <f t="shared" si="1"/>
        <v>43521</v>
      </c>
      <c r="M50" s="98">
        <f t="shared" si="4"/>
        <v>0.40888208269525267</v>
      </c>
      <c r="N50" s="99">
        <f t="shared" si="2"/>
        <v>8.9954058192955593</v>
      </c>
    </row>
    <row r="51" spans="1:14" hidden="1">
      <c r="A51" s="94" t="s">
        <v>1</v>
      </c>
      <c r="B51" s="39" t="s">
        <v>1204</v>
      </c>
      <c r="C51" s="100" t="s">
        <v>1253</v>
      </c>
      <c r="D51" s="29">
        <v>198</v>
      </c>
      <c r="E51" s="29">
        <v>2574</v>
      </c>
      <c r="F51" s="29"/>
      <c r="G51" s="29"/>
      <c r="H51" s="29">
        <v>0</v>
      </c>
      <c r="I51" s="29">
        <v>0</v>
      </c>
      <c r="J51" s="29">
        <v>0</v>
      </c>
      <c r="K51" s="29">
        <v>0</v>
      </c>
      <c r="L51" s="97">
        <f t="shared" si="1"/>
        <v>2574</v>
      </c>
      <c r="M51" s="98">
        <f>IF(L51="","",IFERROR(L51/SUMIFS($L:$L,$A:$A,A51,$B:$B,B51),""))</f>
        <v>2.4182865303131372E-2</v>
      </c>
      <c r="N51" s="99">
        <f t="shared" si="2"/>
        <v>0.53202303666889017</v>
      </c>
    </row>
    <row r="52" spans="1:14" hidden="1">
      <c r="A52" s="94" t="s">
        <v>1</v>
      </c>
      <c r="B52" s="39" t="s">
        <v>1205</v>
      </c>
      <c r="C52" s="100" t="s">
        <v>1248</v>
      </c>
      <c r="D52" s="29">
        <v>381</v>
      </c>
      <c r="E52" s="29">
        <v>9144</v>
      </c>
      <c r="F52" s="29"/>
      <c r="G52" s="29"/>
      <c r="H52" s="29">
        <v>40</v>
      </c>
      <c r="I52" s="29">
        <v>400</v>
      </c>
      <c r="J52" s="29">
        <v>11</v>
      </c>
      <c r="K52" s="29">
        <v>80</v>
      </c>
      <c r="L52" s="97">
        <f t="shared" si="1"/>
        <v>9624</v>
      </c>
      <c r="M52" s="98">
        <f t="shared" ref="M52:M65" si="5">IF(L52="","",IFERROR(L52/SUMIFS($L:$L,$A:$A,A52,$B:$B,B52),""))</f>
        <v>8.9055039419624685E-2</v>
      </c>
      <c r="N52" s="99">
        <f t="shared" si="2"/>
        <v>1.959210867231743</v>
      </c>
    </row>
    <row r="53" spans="1:14" hidden="1">
      <c r="A53" s="94" t="s">
        <v>1</v>
      </c>
      <c r="B53" s="39" t="s">
        <v>1205</v>
      </c>
      <c r="C53" s="100" t="s">
        <v>1247</v>
      </c>
      <c r="D53" s="29">
        <v>252</v>
      </c>
      <c r="E53" s="29">
        <v>4284</v>
      </c>
      <c r="F53" s="29"/>
      <c r="G53" s="29"/>
      <c r="H53" s="29">
        <v>467</v>
      </c>
      <c r="I53" s="29">
        <v>4370</v>
      </c>
      <c r="J53" s="29">
        <v>8</v>
      </c>
      <c r="K53" s="29">
        <v>200</v>
      </c>
      <c r="L53" s="97">
        <f t="shared" si="1"/>
        <v>8854</v>
      </c>
      <c r="M53" s="98">
        <f t="shared" si="5"/>
        <v>8.1929895991412816E-2</v>
      </c>
      <c r="N53" s="99">
        <f t="shared" si="2"/>
        <v>1.8024577118110821</v>
      </c>
    </row>
    <row r="54" spans="1:14" hidden="1">
      <c r="A54" s="94" t="s">
        <v>1</v>
      </c>
      <c r="B54" s="39" t="s">
        <v>1205</v>
      </c>
      <c r="C54" s="100" t="s">
        <v>1250</v>
      </c>
      <c r="D54" s="29">
        <v>177</v>
      </c>
      <c r="E54" s="29">
        <v>4602</v>
      </c>
      <c r="F54" s="29"/>
      <c r="G54" s="29"/>
      <c r="H54" s="29">
        <v>99</v>
      </c>
      <c r="I54" s="29">
        <v>2450</v>
      </c>
      <c r="J54" s="29">
        <v>41</v>
      </c>
      <c r="K54" s="29">
        <v>230</v>
      </c>
      <c r="L54" s="97">
        <f t="shared" si="1"/>
        <v>7282</v>
      </c>
      <c r="M54" s="98">
        <f t="shared" si="5"/>
        <v>6.7383499278232228E-2</v>
      </c>
      <c r="N54" s="99">
        <f t="shared" si="2"/>
        <v>1.4824369841211089</v>
      </c>
    </row>
    <row r="55" spans="1:14" hidden="1">
      <c r="A55" s="94" t="s">
        <v>1</v>
      </c>
      <c r="B55" s="39" t="s">
        <v>1205</v>
      </c>
      <c r="C55" s="100" t="s">
        <v>1249</v>
      </c>
      <c r="D55" s="29">
        <v>138</v>
      </c>
      <c r="E55" s="29">
        <v>2484</v>
      </c>
      <c r="F55" s="29"/>
      <c r="G55" s="29"/>
      <c r="H55" s="29">
        <v>22</v>
      </c>
      <c r="I55" s="29">
        <v>220</v>
      </c>
      <c r="J55" s="29">
        <v>5</v>
      </c>
      <c r="K55" s="29">
        <v>25</v>
      </c>
      <c r="L55" s="97">
        <f t="shared" si="1"/>
        <v>2729</v>
      </c>
      <c r="M55" s="98">
        <f t="shared" si="5"/>
        <v>2.5252618721545692E-2</v>
      </c>
      <c r="N55" s="99">
        <f t="shared" si="2"/>
        <v>0.55555761187400521</v>
      </c>
    </row>
    <row r="56" spans="1:14" hidden="1">
      <c r="A56" s="94" t="s">
        <v>1</v>
      </c>
      <c r="B56" s="39" t="s">
        <v>1205</v>
      </c>
      <c r="C56" s="100" t="s">
        <v>1251</v>
      </c>
      <c r="D56" s="29">
        <v>2288</v>
      </c>
      <c r="E56" s="29">
        <v>38896</v>
      </c>
      <c r="F56" s="30">
        <v>59</v>
      </c>
      <c r="G56" s="29">
        <v>590</v>
      </c>
      <c r="H56" s="29">
        <v>1692</v>
      </c>
      <c r="I56" s="29">
        <v>-6246</v>
      </c>
      <c r="J56" s="29">
        <v>2</v>
      </c>
      <c r="K56" s="29">
        <v>10</v>
      </c>
      <c r="L56" s="97">
        <f t="shared" si="1"/>
        <v>33250</v>
      </c>
      <c r="M56" s="98">
        <f t="shared" si="5"/>
        <v>0.30767664803642153</v>
      </c>
      <c r="N56" s="99">
        <f t="shared" si="2"/>
        <v>6.7688862568012738</v>
      </c>
    </row>
    <row r="57" spans="1:14" hidden="1">
      <c r="A57" s="94" t="s">
        <v>1</v>
      </c>
      <c r="B57" s="39" t="s">
        <v>1205</v>
      </c>
      <c r="C57" s="100" t="s">
        <v>1252</v>
      </c>
      <c r="D57" s="29">
        <v>1559</v>
      </c>
      <c r="E57" s="29">
        <v>42470</v>
      </c>
      <c r="F57" s="29"/>
      <c r="G57" s="29"/>
      <c r="H57" s="29">
        <v>117</v>
      </c>
      <c r="I57" s="29">
        <v>1165</v>
      </c>
      <c r="J57" s="29">
        <v>4</v>
      </c>
      <c r="K57" s="29">
        <v>120</v>
      </c>
      <c r="L57" s="97">
        <f t="shared" si="1"/>
        <v>43755</v>
      </c>
      <c r="M57" s="98">
        <f t="shared" si="5"/>
        <v>0.40488396194988341</v>
      </c>
      <c r="N57" s="99">
        <f t="shared" si="2"/>
        <v>8.9074471628974354</v>
      </c>
    </row>
    <row r="58" spans="1:14" hidden="1">
      <c r="A58" s="94" t="s">
        <v>1</v>
      </c>
      <c r="B58" s="39" t="s">
        <v>1205</v>
      </c>
      <c r="C58" s="100" t="s">
        <v>1253</v>
      </c>
      <c r="D58" s="29">
        <v>198</v>
      </c>
      <c r="E58" s="29">
        <v>2574</v>
      </c>
      <c r="F58" s="29"/>
      <c r="G58" s="29"/>
      <c r="H58" s="29">
        <v>0</v>
      </c>
      <c r="I58" s="29">
        <v>0</v>
      </c>
      <c r="J58" s="29">
        <v>0</v>
      </c>
      <c r="K58" s="29">
        <v>0</v>
      </c>
      <c r="L58" s="97">
        <f t="shared" si="1"/>
        <v>2574</v>
      </c>
      <c r="M58" s="98">
        <f t="shared" si="5"/>
        <v>2.3818336602879669E-2</v>
      </c>
      <c r="N58" s="99">
        <f t="shared" si="2"/>
        <v>0.52400340526335276</v>
      </c>
    </row>
    <row r="59" spans="1:14" hidden="1">
      <c r="A59" s="94" t="s">
        <v>3</v>
      </c>
      <c r="B59" s="39" t="s">
        <v>1202</v>
      </c>
      <c r="C59" s="95" t="s">
        <v>1248</v>
      </c>
      <c r="D59" s="96">
        <v>288</v>
      </c>
      <c r="E59" s="96">
        <v>6912</v>
      </c>
      <c r="F59" s="96"/>
      <c r="G59" s="96"/>
      <c r="H59" s="96">
        <v>23</v>
      </c>
      <c r="I59" s="96">
        <v>230</v>
      </c>
      <c r="J59" s="96">
        <v>10</v>
      </c>
      <c r="K59" s="96">
        <v>75</v>
      </c>
      <c r="L59" s="97">
        <f>E59+G59+I59+K59</f>
        <v>7217</v>
      </c>
      <c r="M59" s="98">
        <f t="shared" si="5"/>
        <v>7.4823231799614323E-2</v>
      </c>
      <c r="N59" s="99">
        <f>M59*18.3</f>
        <v>1.3692651419329422</v>
      </c>
    </row>
    <row r="60" spans="1:14" hidden="1">
      <c r="A60" s="94" t="s">
        <v>3</v>
      </c>
      <c r="B60" s="39" t="s">
        <v>1202</v>
      </c>
      <c r="C60" s="95" t="s">
        <v>1247</v>
      </c>
      <c r="D60" s="96">
        <v>290</v>
      </c>
      <c r="E60" s="96">
        <v>4930</v>
      </c>
      <c r="F60" s="96"/>
      <c r="G60" s="96"/>
      <c r="H60" s="96">
        <v>383</v>
      </c>
      <c r="I60" s="96">
        <v>3645</v>
      </c>
      <c r="J60" s="96">
        <v>8</v>
      </c>
      <c r="K60" s="96">
        <v>75</v>
      </c>
      <c r="L60" s="97">
        <f t="shared" ref="L60:L86" si="6">E60+G60+I60+K60</f>
        <v>8650</v>
      </c>
      <c r="M60" s="98">
        <f t="shared" si="5"/>
        <v>8.9680054741120119E-2</v>
      </c>
      <c r="N60" s="99">
        <f t="shared" ref="N60:N86" si="7">M60*18.3</f>
        <v>1.6411450017624982</v>
      </c>
    </row>
    <row r="61" spans="1:14" hidden="1">
      <c r="A61" s="94" t="s">
        <v>3</v>
      </c>
      <c r="B61" s="39" t="s">
        <v>1202</v>
      </c>
      <c r="C61" s="95" t="s">
        <v>1250</v>
      </c>
      <c r="D61" s="96">
        <v>246</v>
      </c>
      <c r="E61" s="96">
        <v>6396</v>
      </c>
      <c r="F61" s="96"/>
      <c r="G61" s="96"/>
      <c r="H61" s="96">
        <v>82</v>
      </c>
      <c r="I61" s="96">
        <v>1880</v>
      </c>
      <c r="J61" s="96">
        <v>39</v>
      </c>
      <c r="K61" s="96">
        <v>195</v>
      </c>
      <c r="L61" s="97">
        <f t="shared" si="6"/>
        <v>8471</v>
      </c>
      <c r="M61" s="98">
        <f t="shared" si="5"/>
        <v>8.7824247827980179E-2</v>
      </c>
      <c r="N61" s="99">
        <f t="shared" si="7"/>
        <v>1.6071837352520373</v>
      </c>
    </row>
    <row r="62" spans="1:14" hidden="1">
      <c r="A62" s="94" t="s">
        <v>3</v>
      </c>
      <c r="B62" s="39" t="s">
        <v>1202</v>
      </c>
      <c r="C62" s="95" t="s">
        <v>1249</v>
      </c>
      <c r="D62" s="96">
        <v>134</v>
      </c>
      <c r="E62" s="96">
        <v>2412</v>
      </c>
      <c r="F62" s="96"/>
      <c r="G62" s="96"/>
      <c r="H62" s="96">
        <v>18</v>
      </c>
      <c r="I62" s="96">
        <v>175</v>
      </c>
      <c r="J62" s="96">
        <v>26</v>
      </c>
      <c r="K62" s="96">
        <v>155</v>
      </c>
      <c r="L62" s="97">
        <f t="shared" si="6"/>
        <v>2742</v>
      </c>
      <c r="M62" s="98">
        <f t="shared" si="5"/>
        <v>2.8428058971115763E-2</v>
      </c>
      <c r="N62" s="99">
        <f t="shared" si="7"/>
        <v>0.52023347917141849</v>
      </c>
    </row>
    <row r="63" spans="1:14" hidden="1">
      <c r="A63" s="94" t="s">
        <v>3</v>
      </c>
      <c r="B63" s="39" t="s">
        <v>1202</v>
      </c>
      <c r="C63" s="100" t="s">
        <v>1251</v>
      </c>
      <c r="D63" s="96">
        <v>1837</v>
      </c>
      <c r="E63" s="96">
        <v>31229</v>
      </c>
      <c r="F63" s="101">
        <v>86</v>
      </c>
      <c r="G63" s="96">
        <v>860</v>
      </c>
      <c r="H63" s="96">
        <v>1244</v>
      </c>
      <c r="I63" s="96">
        <v>-5385</v>
      </c>
      <c r="J63" s="96">
        <v>0</v>
      </c>
      <c r="K63" s="96">
        <v>0</v>
      </c>
      <c r="L63" s="97">
        <f t="shared" si="6"/>
        <v>26704</v>
      </c>
      <c r="M63" s="98">
        <f t="shared" si="5"/>
        <v>0.2768573620585979</v>
      </c>
      <c r="N63" s="99">
        <f t="shared" si="7"/>
        <v>5.0664897256723416</v>
      </c>
    </row>
    <row r="64" spans="1:14" hidden="1">
      <c r="A64" s="94" t="s">
        <v>3</v>
      </c>
      <c r="B64" s="39" t="s">
        <v>1202</v>
      </c>
      <c r="C64" s="100" t="s">
        <v>1252</v>
      </c>
      <c r="D64" s="96">
        <v>1467</v>
      </c>
      <c r="E64" s="96">
        <v>39705</v>
      </c>
      <c r="F64" s="96"/>
      <c r="G64" s="96"/>
      <c r="H64" s="96">
        <v>61</v>
      </c>
      <c r="I64" s="96">
        <v>605</v>
      </c>
      <c r="J64" s="96">
        <v>5</v>
      </c>
      <c r="K64" s="96">
        <v>150</v>
      </c>
      <c r="L64" s="97">
        <f t="shared" si="6"/>
        <v>40460</v>
      </c>
      <c r="M64" s="98">
        <f t="shared" si="5"/>
        <v>0.41947456818794449</v>
      </c>
      <c r="N64" s="99">
        <f t="shared" si="7"/>
        <v>7.6763845978393848</v>
      </c>
    </row>
    <row r="65" spans="1:14" hidden="1">
      <c r="A65" s="94" t="s">
        <v>3</v>
      </c>
      <c r="B65" s="39" t="s">
        <v>1202</v>
      </c>
      <c r="C65" s="100" t="s">
        <v>1253</v>
      </c>
      <c r="D65" s="96">
        <v>170</v>
      </c>
      <c r="E65" s="96">
        <v>2210</v>
      </c>
      <c r="F65" s="96"/>
      <c r="G65" s="96"/>
      <c r="H65" s="96">
        <v>0</v>
      </c>
      <c r="I65" s="96">
        <v>0</v>
      </c>
      <c r="J65" s="96">
        <v>0</v>
      </c>
      <c r="K65" s="96">
        <v>0</v>
      </c>
      <c r="L65" s="97">
        <f t="shared" si="6"/>
        <v>2210</v>
      </c>
      <c r="M65" s="98">
        <f t="shared" si="5"/>
        <v>2.291247641362722E-2</v>
      </c>
      <c r="N65" s="99">
        <f t="shared" si="7"/>
        <v>0.41929831836937814</v>
      </c>
    </row>
    <row r="66" spans="1:14" hidden="1">
      <c r="A66" s="94" t="s">
        <v>3</v>
      </c>
      <c r="B66" s="39" t="s">
        <v>1203</v>
      </c>
      <c r="C66" s="95" t="s">
        <v>1248</v>
      </c>
      <c r="D66" s="96">
        <v>271</v>
      </c>
      <c r="E66" s="96">
        <v>6504</v>
      </c>
      <c r="F66" s="96"/>
      <c r="G66" s="96"/>
      <c r="H66" s="96">
        <v>25</v>
      </c>
      <c r="I66" s="96">
        <v>250</v>
      </c>
      <c r="J66" s="96">
        <v>5</v>
      </c>
      <c r="K66" s="96">
        <v>25</v>
      </c>
      <c r="L66" s="97">
        <f t="shared" si="6"/>
        <v>6779</v>
      </c>
      <c r="M66" s="98">
        <f>IF(L66="","",IFERROR(L66/SUMIFS($L:$L,$A:$A,A66,$B:$B,B66),""))</f>
        <v>7.3213668567478837E-2</v>
      </c>
      <c r="N66" s="99">
        <f t="shared" si="7"/>
        <v>1.3398101347848628</v>
      </c>
    </row>
    <row r="67" spans="1:14" hidden="1">
      <c r="A67" s="94" t="s">
        <v>3</v>
      </c>
      <c r="B67" s="39" t="s">
        <v>1203</v>
      </c>
      <c r="C67" s="95" t="s">
        <v>1247</v>
      </c>
      <c r="D67" s="96">
        <v>211</v>
      </c>
      <c r="E67" s="96">
        <v>3587</v>
      </c>
      <c r="F67" s="96"/>
      <c r="G67" s="96"/>
      <c r="H67" s="96">
        <v>401</v>
      </c>
      <c r="I67" s="96">
        <v>3805</v>
      </c>
      <c r="J67" s="96">
        <v>12</v>
      </c>
      <c r="K67" s="96">
        <v>160</v>
      </c>
      <c r="L67" s="97">
        <f t="shared" si="6"/>
        <v>7552</v>
      </c>
      <c r="M67" s="98">
        <f t="shared" ref="M67:M72" si="8">IF(L67="","",IFERROR(L67/SUMIFS($L:$L,$A:$A,A67,$B:$B,B67),""))</f>
        <v>8.1562121997580783E-2</v>
      </c>
      <c r="N67" s="99">
        <f t="shared" si="7"/>
        <v>1.4925868325557283</v>
      </c>
    </row>
    <row r="68" spans="1:14" hidden="1">
      <c r="A68" s="94" t="s">
        <v>3</v>
      </c>
      <c r="B68" s="39" t="s">
        <v>1203</v>
      </c>
      <c r="C68" s="95" t="s">
        <v>1250</v>
      </c>
      <c r="D68" s="96">
        <v>208</v>
      </c>
      <c r="E68" s="96">
        <v>5408</v>
      </c>
      <c r="F68" s="96"/>
      <c r="G68" s="96"/>
      <c r="H68" s="96">
        <v>96</v>
      </c>
      <c r="I68" s="96">
        <v>2240</v>
      </c>
      <c r="J68" s="96">
        <v>45</v>
      </c>
      <c r="K68" s="96">
        <v>225</v>
      </c>
      <c r="L68" s="97">
        <f t="shared" si="6"/>
        <v>7873</v>
      </c>
      <c r="M68" s="98">
        <f t="shared" si="8"/>
        <v>8.5028944185242789E-2</v>
      </c>
      <c r="N68" s="99">
        <f t="shared" si="7"/>
        <v>1.556029678589943</v>
      </c>
    </row>
    <row r="69" spans="1:14" hidden="1">
      <c r="A69" s="94" t="s">
        <v>3</v>
      </c>
      <c r="B69" s="39" t="s">
        <v>1203</v>
      </c>
      <c r="C69" s="95" t="s">
        <v>1249</v>
      </c>
      <c r="D69" s="96">
        <v>129</v>
      </c>
      <c r="E69" s="96">
        <v>2322</v>
      </c>
      <c r="F69" s="96"/>
      <c r="G69" s="96"/>
      <c r="H69" s="96">
        <v>22</v>
      </c>
      <c r="I69" s="96">
        <v>205</v>
      </c>
      <c r="J69" s="96">
        <v>28</v>
      </c>
      <c r="K69" s="96">
        <v>140</v>
      </c>
      <c r="L69" s="97">
        <f t="shared" si="6"/>
        <v>2667</v>
      </c>
      <c r="M69" s="98">
        <f t="shared" si="8"/>
        <v>2.8803784344219804E-2</v>
      </c>
      <c r="N69" s="99">
        <f t="shared" si="7"/>
        <v>0.52710925349922244</v>
      </c>
    </row>
    <row r="70" spans="1:14" hidden="1">
      <c r="A70" s="94" t="s">
        <v>3</v>
      </c>
      <c r="B70" s="39" t="s">
        <v>1203</v>
      </c>
      <c r="C70" s="100" t="s">
        <v>1251</v>
      </c>
      <c r="D70" s="96">
        <v>1919</v>
      </c>
      <c r="E70" s="96">
        <v>32623</v>
      </c>
      <c r="F70" s="101">
        <v>67</v>
      </c>
      <c r="G70" s="96">
        <v>670</v>
      </c>
      <c r="H70" s="96">
        <v>1280</v>
      </c>
      <c r="I70" s="96">
        <v>-5563</v>
      </c>
      <c r="J70" s="96">
        <v>2</v>
      </c>
      <c r="K70" s="96">
        <v>10</v>
      </c>
      <c r="L70" s="97">
        <f t="shared" si="6"/>
        <v>27740</v>
      </c>
      <c r="M70" s="98">
        <f t="shared" si="8"/>
        <v>0.29959391740107139</v>
      </c>
      <c r="N70" s="99">
        <f t="shared" si="7"/>
        <v>5.4825686884396063</v>
      </c>
    </row>
    <row r="71" spans="1:14" hidden="1">
      <c r="A71" s="94" t="s">
        <v>3</v>
      </c>
      <c r="B71" s="39" t="s">
        <v>1203</v>
      </c>
      <c r="C71" s="100" t="s">
        <v>1252</v>
      </c>
      <c r="D71" s="96">
        <v>1354</v>
      </c>
      <c r="E71" s="96">
        <v>36726</v>
      </c>
      <c r="F71" s="96"/>
      <c r="G71" s="96"/>
      <c r="H71" s="96">
        <v>77</v>
      </c>
      <c r="I71" s="96">
        <v>710</v>
      </c>
      <c r="J71" s="96">
        <v>9</v>
      </c>
      <c r="K71" s="96">
        <v>270</v>
      </c>
      <c r="L71" s="97">
        <f t="shared" si="6"/>
        <v>37706</v>
      </c>
      <c r="M71" s="98">
        <f t="shared" si="8"/>
        <v>0.40722740625540005</v>
      </c>
      <c r="N71" s="99">
        <f t="shared" si="7"/>
        <v>7.4522615344738208</v>
      </c>
    </row>
    <row r="72" spans="1:14" hidden="1">
      <c r="A72" s="94" t="s">
        <v>3</v>
      </c>
      <c r="B72" s="39" t="s">
        <v>1203</v>
      </c>
      <c r="C72" s="100" t="s">
        <v>1253</v>
      </c>
      <c r="D72" s="96">
        <v>175</v>
      </c>
      <c r="E72" s="96">
        <v>2275</v>
      </c>
      <c r="F72" s="96"/>
      <c r="G72" s="96"/>
      <c r="H72" s="96">
        <v>0</v>
      </c>
      <c r="I72" s="96">
        <v>0</v>
      </c>
      <c r="J72" s="96">
        <v>0</v>
      </c>
      <c r="K72" s="96">
        <v>0</v>
      </c>
      <c r="L72" s="97">
        <f t="shared" si="6"/>
        <v>2275</v>
      </c>
      <c r="M72" s="98">
        <f t="shared" si="8"/>
        <v>2.4570157249006394E-2</v>
      </c>
      <c r="N72" s="99">
        <f t="shared" si="7"/>
        <v>0.449633877656817</v>
      </c>
    </row>
    <row r="73" spans="1:14" hidden="1">
      <c r="A73" s="94" t="s">
        <v>3</v>
      </c>
      <c r="B73" s="39" t="s">
        <v>1204</v>
      </c>
      <c r="C73" s="100" t="s">
        <v>1248</v>
      </c>
      <c r="D73" s="29">
        <v>399</v>
      </c>
      <c r="E73" s="29">
        <v>9576</v>
      </c>
      <c r="F73" s="29"/>
      <c r="G73" s="29"/>
      <c r="H73" s="29">
        <v>75</v>
      </c>
      <c r="I73" s="29">
        <v>750</v>
      </c>
      <c r="J73" s="29">
        <v>12</v>
      </c>
      <c r="K73" s="29">
        <v>160</v>
      </c>
      <c r="L73" s="97">
        <f t="shared" si="6"/>
        <v>10486</v>
      </c>
      <c r="M73" s="98">
        <f>IF(L73="","",IFERROR(L73/SUMIFS($L:$L,$A:$A,A73,$B:$B,B73),""))</f>
        <v>9.8516521199936119E-2</v>
      </c>
      <c r="N73" s="99">
        <f t="shared" si="7"/>
        <v>1.802852337958831</v>
      </c>
    </row>
    <row r="74" spans="1:14" hidden="1">
      <c r="A74" s="94" t="s">
        <v>3</v>
      </c>
      <c r="B74" s="39" t="s">
        <v>1204</v>
      </c>
      <c r="C74" s="100" t="s">
        <v>1247</v>
      </c>
      <c r="D74" s="29">
        <v>239</v>
      </c>
      <c r="E74" s="29">
        <v>4063</v>
      </c>
      <c r="F74" s="29"/>
      <c r="G74" s="29"/>
      <c r="H74" s="29">
        <v>440</v>
      </c>
      <c r="I74" s="29">
        <v>4125</v>
      </c>
      <c r="J74" s="29">
        <v>7</v>
      </c>
      <c r="K74" s="29">
        <v>95</v>
      </c>
      <c r="L74" s="97">
        <f t="shared" si="6"/>
        <v>8283</v>
      </c>
      <c r="M74" s="98">
        <f t="shared" ref="M74:M78" si="9">IF(L74="","",IFERROR(L74/SUMIFS($L:$L,$A:$A,A74,$B:$B,B74),""))</f>
        <v>7.7819220398538128E-2</v>
      </c>
      <c r="N74" s="99">
        <f t="shared" si="7"/>
        <v>1.4240917332932479</v>
      </c>
    </row>
    <row r="75" spans="1:14" hidden="1">
      <c r="A75" s="94" t="s">
        <v>3</v>
      </c>
      <c r="B75" s="39" t="s">
        <v>1204</v>
      </c>
      <c r="C75" s="100" t="s">
        <v>1250</v>
      </c>
      <c r="D75" s="29">
        <v>215</v>
      </c>
      <c r="E75" s="29">
        <v>5590</v>
      </c>
      <c r="F75" s="29"/>
      <c r="G75" s="29"/>
      <c r="H75" s="29">
        <v>88</v>
      </c>
      <c r="I75" s="29">
        <v>1960</v>
      </c>
      <c r="J75" s="29">
        <v>40</v>
      </c>
      <c r="K75" s="29">
        <v>200</v>
      </c>
      <c r="L75" s="97">
        <f t="shared" si="6"/>
        <v>7750</v>
      </c>
      <c r="M75" s="98">
        <f t="shared" si="9"/>
        <v>7.2811657381223041E-2</v>
      </c>
      <c r="N75" s="99">
        <f t="shared" si="7"/>
        <v>1.3324533300763817</v>
      </c>
    </row>
    <row r="76" spans="1:14" hidden="1">
      <c r="A76" s="94" t="s">
        <v>3</v>
      </c>
      <c r="B76" s="39" t="s">
        <v>1204</v>
      </c>
      <c r="C76" s="100" t="s">
        <v>1249</v>
      </c>
      <c r="D76" s="29">
        <v>141</v>
      </c>
      <c r="E76" s="29">
        <v>2538</v>
      </c>
      <c r="F76" s="29"/>
      <c r="G76" s="29"/>
      <c r="H76" s="29">
        <v>20</v>
      </c>
      <c r="I76" s="29">
        <v>195</v>
      </c>
      <c r="J76" s="29">
        <v>23</v>
      </c>
      <c r="K76" s="29">
        <v>115</v>
      </c>
      <c r="L76" s="97">
        <f t="shared" si="6"/>
        <v>2848</v>
      </c>
      <c r="M76" s="98">
        <f t="shared" si="9"/>
        <v>2.6757109706028806E-2</v>
      </c>
      <c r="N76" s="99">
        <f t="shared" si="7"/>
        <v>0.48965510762032716</v>
      </c>
    </row>
    <row r="77" spans="1:14" hidden="1">
      <c r="A77" s="94" t="s">
        <v>3</v>
      </c>
      <c r="B77" s="39" t="s">
        <v>1204</v>
      </c>
      <c r="C77" s="100" t="s">
        <v>1251</v>
      </c>
      <c r="D77" s="29">
        <v>2123</v>
      </c>
      <c r="E77" s="29">
        <v>36091</v>
      </c>
      <c r="F77" s="30">
        <v>61</v>
      </c>
      <c r="G77" s="29">
        <v>610</v>
      </c>
      <c r="H77" s="29">
        <v>1360</v>
      </c>
      <c r="I77" s="29">
        <v>-5729</v>
      </c>
      <c r="J77" s="29">
        <v>1</v>
      </c>
      <c r="K77" s="29">
        <v>5</v>
      </c>
      <c r="L77" s="97">
        <f t="shared" si="6"/>
        <v>30977</v>
      </c>
      <c r="M77" s="98">
        <f t="shared" si="9"/>
        <v>0.29103054331588984</v>
      </c>
      <c r="N77" s="99">
        <f t="shared" si="7"/>
        <v>5.3258589426807843</v>
      </c>
    </row>
    <row r="78" spans="1:14" hidden="1">
      <c r="A78" s="94" t="s">
        <v>3</v>
      </c>
      <c r="B78" s="39" t="s">
        <v>1204</v>
      </c>
      <c r="C78" s="100" t="s">
        <v>1252</v>
      </c>
      <c r="D78" s="29">
        <v>1568</v>
      </c>
      <c r="E78" s="29">
        <v>42641</v>
      </c>
      <c r="F78" s="29"/>
      <c r="G78" s="29"/>
      <c r="H78" s="29">
        <v>76</v>
      </c>
      <c r="I78" s="29">
        <v>760</v>
      </c>
      <c r="J78" s="29">
        <v>4</v>
      </c>
      <c r="K78" s="29">
        <v>120</v>
      </c>
      <c r="L78" s="97">
        <f t="shared" si="6"/>
        <v>43521</v>
      </c>
      <c r="M78" s="98">
        <f t="shared" si="9"/>
        <v>0.40888208269525267</v>
      </c>
      <c r="N78" s="99">
        <f t="shared" si="7"/>
        <v>7.4825421133231238</v>
      </c>
    </row>
    <row r="79" spans="1:14" hidden="1">
      <c r="A79" s="94" t="s">
        <v>3</v>
      </c>
      <c r="B79" s="39" t="s">
        <v>1204</v>
      </c>
      <c r="C79" s="100" t="s">
        <v>1253</v>
      </c>
      <c r="D79" s="29">
        <v>198</v>
      </c>
      <c r="E79" s="29">
        <v>2574</v>
      </c>
      <c r="F79" s="29"/>
      <c r="G79" s="29"/>
      <c r="H79" s="29">
        <v>0</v>
      </c>
      <c r="I79" s="29">
        <v>0</v>
      </c>
      <c r="J79" s="29">
        <v>0</v>
      </c>
      <c r="K79" s="29">
        <v>0</v>
      </c>
      <c r="L79" s="97">
        <f t="shared" si="6"/>
        <v>2574</v>
      </c>
      <c r="M79" s="98">
        <f>IF(L79="","",IFERROR(L79/SUMIFS($L:$L,$A:$A,A79,$B:$B,B79),""))</f>
        <v>2.4182865303131372E-2</v>
      </c>
      <c r="N79" s="99">
        <f t="shared" si="7"/>
        <v>0.44254643504730412</v>
      </c>
    </row>
    <row r="80" spans="1:14" hidden="1">
      <c r="A80" s="94" t="s">
        <v>3</v>
      </c>
      <c r="B80" s="39" t="s">
        <v>1205</v>
      </c>
      <c r="C80" s="100" t="s">
        <v>1248</v>
      </c>
      <c r="D80" s="29">
        <v>381</v>
      </c>
      <c r="E80" s="29">
        <v>9144</v>
      </c>
      <c r="F80" s="29"/>
      <c r="G80" s="29"/>
      <c r="H80" s="29">
        <v>40</v>
      </c>
      <c r="I80" s="29">
        <v>400</v>
      </c>
      <c r="J80" s="29">
        <v>11</v>
      </c>
      <c r="K80" s="29">
        <v>80</v>
      </c>
      <c r="L80" s="97">
        <f t="shared" si="6"/>
        <v>9624</v>
      </c>
      <c r="M80" s="98">
        <f t="shared" ref="M80:M93" si="10">IF(L80="","",IFERROR(L80/SUMIFS($L:$L,$A:$A,A80,$B:$B,B80),""))</f>
        <v>8.9055039419624685E-2</v>
      </c>
      <c r="N80" s="99">
        <f t="shared" si="7"/>
        <v>1.6297072213791317</v>
      </c>
    </row>
    <row r="81" spans="1:14" hidden="1">
      <c r="A81" s="94" t="s">
        <v>3</v>
      </c>
      <c r="B81" s="39" t="s">
        <v>1205</v>
      </c>
      <c r="C81" s="100" t="s">
        <v>1247</v>
      </c>
      <c r="D81" s="29">
        <v>252</v>
      </c>
      <c r="E81" s="29">
        <v>4284</v>
      </c>
      <c r="F81" s="29"/>
      <c r="G81" s="29"/>
      <c r="H81" s="29">
        <v>467</v>
      </c>
      <c r="I81" s="29">
        <v>4370</v>
      </c>
      <c r="J81" s="29">
        <v>8</v>
      </c>
      <c r="K81" s="29">
        <v>200</v>
      </c>
      <c r="L81" s="97">
        <f t="shared" si="6"/>
        <v>8854</v>
      </c>
      <c r="M81" s="98">
        <f t="shared" si="10"/>
        <v>8.1929895991412816E-2</v>
      </c>
      <c r="N81" s="99">
        <f t="shared" si="7"/>
        <v>1.4993170966428546</v>
      </c>
    </row>
    <row r="82" spans="1:14" hidden="1">
      <c r="A82" s="94" t="s">
        <v>3</v>
      </c>
      <c r="B82" s="39" t="s">
        <v>1205</v>
      </c>
      <c r="C82" s="100" t="s">
        <v>1250</v>
      </c>
      <c r="D82" s="29">
        <v>177</v>
      </c>
      <c r="E82" s="29">
        <v>4602</v>
      </c>
      <c r="F82" s="29"/>
      <c r="G82" s="29"/>
      <c r="H82" s="29">
        <v>99</v>
      </c>
      <c r="I82" s="29">
        <v>2450</v>
      </c>
      <c r="J82" s="29">
        <v>41</v>
      </c>
      <c r="K82" s="29">
        <v>230</v>
      </c>
      <c r="L82" s="97">
        <f t="shared" si="6"/>
        <v>7282</v>
      </c>
      <c r="M82" s="98">
        <f t="shared" si="10"/>
        <v>6.7383499278232228E-2</v>
      </c>
      <c r="N82" s="99">
        <f t="shared" si="7"/>
        <v>1.2331180367916499</v>
      </c>
    </row>
    <row r="83" spans="1:14" hidden="1">
      <c r="A83" s="94" t="s">
        <v>3</v>
      </c>
      <c r="B83" s="39" t="s">
        <v>1205</v>
      </c>
      <c r="C83" s="100" t="s">
        <v>1249</v>
      </c>
      <c r="D83" s="29">
        <v>138</v>
      </c>
      <c r="E83" s="29">
        <v>2484</v>
      </c>
      <c r="F83" s="29"/>
      <c r="G83" s="29"/>
      <c r="H83" s="29">
        <v>22</v>
      </c>
      <c r="I83" s="29">
        <v>220</v>
      </c>
      <c r="J83" s="29">
        <v>5</v>
      </c>
      <c r="K83" s="29">
        <v>25</v>
      </c>
      <c r="L83" s="97">
        <f t="shared" si="6"/>
        <v>2729</v>
      </c>
      <c r="M83" s="98">
        <f t="shared" si="10"/>
        <v>2.5252618721545692E-2</v>
      </c>
      <c r="N83" s="99">
        <f t="shared" si="7"/>
        <v>0.46212292260428617</v>
      </c>
    </row>
    <row r="84" spans="1:14" hidden="1">
      <c r="A84" s="94" t="s">
        <v>3</v>
      </c>
      <c r="B84" s="39" t="s">
        <v>1205</v>
      </c>
      <c r="C84" s="100" t="s">
        <v>1251</v>
      </c>
      <c r="D84" s="29">
        <v>2288</v>
      </c>
      <c r="E84" s="29">
        <v>38896</v>
      </c>
      <c r="F84" s="30">
        <v>59</v>
      </c>
      <c r="G84" s="29">
        <v>590</v>
      </c>
      <c r="H84" s="29">
        <v>1692</v>
      </c>
      <c r="I84" s="29">
        <v>-6246</v>
      </c>
      <c r="J84" s="29">
        <v>2</v>
      </c>
      <c r="K84" s="29">
        <v>10</v>
      </c>
      <c r="L84" s="97">
        <f t="shared" si="6"/>
        <v>33250</v>
      </c>
      <c r="M84" s="98">
        <f t="shared" si="10"/>
        <v>0.30767664803642153</v>
      </c>
      <c r="N84" s="99">
        <f t="shared" si="7"/>
        <v>5.630482659066514</v>
      </c>
    </row>
    <row r="85" spans="1:14" hidden="1">
      <c r="A85" s="94" t="s">
        <v>3</v>
      </c>
      <c r="B85" s="39" t="s">
        <v>1205</v>
      </c>
      <c r="C85" s="100" t="s">
        <v>1252</v>
      </c>
      <c r="D85" s="29">
        <v>1559</v>
      </c>
      <c r="E85" s="29">
        <v>42470</v>
      </c>
      <c r="F85" s="29"/>
      <c r="G85" s="29"/>
      <c r="H85" s="29">
        <v>117</v>
      </c>
      <c r="I85" s="29">
        <v>1165</v>
      </c>
      <c r="J85" s="29">
        <v>4</v>
      </c>
      <c r="K85" s="29">
        <v>120</v>
      </c>
      <c r="L85" s="97">
        <f t="shared" si="6"/>
        <v>43755</v>
      </c>
      <c r="M85" s="98">
        <f t="shared" si="10"/>
        <v>0.40488396194988341</v>
      </c>
      <c r="N85" s="99">
        <f t="shared" si="7"/>
        <v>7.4093765036828669</v>
      </c>
    </row>
    <row r="86" spans="1:14" hidden="1">
      <c r="A86" s="94" t="s">
        <v>3</v>
      </c>
      <c r="B86" s="39" t="s">
        <v>1205</v>
      </c>
      <c r="C86" s="100" t="s">
        <v>1253</v>
      </c>
      <c r="D86" s="29">
        <v>198</v>
      </c>
      <c r="E86" s="29">
        <v>2574</v>
      </c>
      <c r="F86" s="29"/>
      <c r="G86" s="29"/>
      <c r="H86" s="29">
        <v>0</v>
      </c>
      <c r="I86" s="29">
        <v>0</v>
      </c>
      <c r="J86" s="29">
        <v>0</v>
      </c>
      <c r="K86" s="29">
        <v>0</v>
      </c>
      <c r="L86" s="97">
        <f t="shared" si="6"/>
        <v>2574</v>
      </c>
      <c r="M86" s="98">
        <f t="shared" si="10"/>
        <v>2.3818336602879669E-2</v>
      </c>
      <c r="N86" s="99">
        <f t="shared" si="7"/>
        <v>0.43587555983269793</v>
      </c>
    </row>
    <row r="87" spans="1:14" hidden="1">
      <c r="A87" s="94" t="s">
        <v>4</v>
      </c>
      <c r="B87" s="39" t="s">
        <v>1202</v>
      </c>
      <c r="C87" s="95" t="s">
        <v>1248</v>
      </c>
      <c r="D87" s="96">
        <v>288</v>
      </c>
      <c r="E87" s="96">
        <v>6912</v>
      </c>
      <c r="F87" s="96"/>
      <c r="G87" s="96"/>
      <c r="H87" s="96">
        <v>23</v>
      </c>
      <c r="I87" s="96">
        <v>230</v>
      </c>
      <c r="J87" s="96">
        <v>10</v>
      </c>
      <c r="K87" s="96">
        <v>75</v>
      </c>
      <c r="L87" s="97">
        <f>E87+G87+I87+K87</f>
        <v>7217</v>
      </c>
      <c r="M87" s="98">
        <f t="shared" si="10"/>
        <v>7.4823231799614323E-2</v>
      </c>
      <c r="N87" s="99">
        <f>M87*17</f>
        <v>1.2719949405934434</v>
      </c>
    </row>
    <row r="88" spans="1:14" hidden="1">
      <c r="A88" s="94" t="s">
        <v>4</v>
      </c>
      <c r="B88" s="39" t="s">
        <v>1202</v>
      </c>
      <c r="C88" s="95" t="s">
        <v>1247</v>
      </c>
      <c r="D88" s="96">
        <v>290</v>
      </c>
      <c r="E88" s="96">
        <v>4930</v>
      </c>
      <c r="F88" s="96"/>
      <c r="G88" s="96"/>
      <c r="H88" s="96">
        <v>383</v>
      </c>
      <c r="I88" s="96">
        <v>3645</v>
      </c>
      <c r="J88" s="96">
        <v>8</v>
      </c>
      <c r="K88" s="96">
        <v>75</v>
      </c>
      <c r="L88" s="97">
        <f t="shared" ref="L88:L114" si="11">E88+G88+I88+K88</f>
        <v>8650</v>
      </c>
      <c r="M88" s="98">
        <f t="shared" si="10"/>
        <v>8.9680054741120119E-2</v>
      </c>
      <c r="N88" s="99">
        <f t="shared" ref="N88:N114" si="12">M88*17</f>
        <v>1.524560930599042</v>
      </c>
    </row>
    <row r="89" spans="1:14" hidden="1">
      <c r="A89" s="94" t="s">
        <v>4</v>
      </c>
      <c r="B89" s="39" t="s">
        <v>1202</v>
      </c>
      <c r="C89" s="95" t="s">
        <v>1250</v>
      </c>
      <c r="D89" s="96">
        <v>246</v>
      </c>
      <c r="E89" s="96">
        <v>6396</v>
      </c>
      <c r="F89" s="96"/>
      <c r="G89" s="96"/>
      <c r="H89" s="96">
        <v>82</v>
      </c>
      <c r="I89" s="96">
        <v>1880</v>
      </c>
      <c r="J89" s="96">
        <v>39</v>
      </c>
      <c r="K89" s="96">
        <v>195</v>
      </c>
      <c r="L89" s="97">
        <f t="shared" si="11"/>
        <v>8471</v>
      </c>
      <c r="M89" s="98">
        <f t="shared" si="10"/>
        <v>8.7824247827980179E-2</v>
      </c>
      <c r="N89" s="99">
        <f t="shared" si="12"/>
        <v>1.4930122130756631</v>
      </c>
    </row>
    <row r="90" spans="1:14" hidden="1">
      <c r="A90" s="94" t="s">
        <v>4</v>
      </c>
      <c r="B90" s="39" t="s">
        <v>1202</v>
      </c>
      <c r="C90" s="95" t="s">
        <v>1249</v>
      </c>
      <c r="D90" s="96">
        <v>134</v>
      </c>
      <c r="E90" s="96">
        <v>2412</v>
      </c>
      <c r="F90" s="96"/>
      <c r="G90" s="96"/>
      <c r="H90" s="96">
        <v>18</v>
      </c>
      <c r="I90" s="96">
        <v>175</v>
      </c>
      <c r="J90" s="96">
        <v>26</v>
      </c>
      <c r="K90" s="96">
        <v>155</v>
      </c>
      <c r="L90" s="97">
        <f t="shared" si="11"/>
        <v>2742</v>
      </c>
      <c r="M90" s="98">
        <f t="shared" si="10"/>
        <v>2.8428058971115763E-2</v>
      </c>
      <c r="N90" s="99">
        <f t="shared" si="12"/>
        <v>0.48327700250896799</v>
      </c>
    </row>
    <row r="91" spans="1:14" hidden="1">
      <c r="A91" s="94" t="s">
        <v>4</v>
      </c>
      <c r="B91" s="39" t="s">
        <v>1202</v>
      </c>
      <c r="C91" s="100" t="s">
        <v>1251</v>
      </c>
      <c r="D91" s="96">
        <v>1837</v>
      </c>
      <c r="E91" s="96">
        <v>31229</v>
      </c>
      <c r="F91" s="101">
        <v>86</v>
      </c>
      <c r="G91" s="96">
        <v>860</v>
      </c>
      <c r="H91" s="96">
        <v>1244</v>
      </c>
      <c r="I91" s="96">
        <v>-5385</v>
      </c>
      <c r="J91" s="96">
        <v>0</v>
      </c>
      <c r="K91" s="96">
        <v>0</v>
      </c>
      <c r="L91" s="97">
        <f t="shared" si="11"/>
        <v>26704</v>
      </c>
      <c r="M91" s="98">
        <f t="shared" si="10"/>
        <v>0.2768573620585979</v>
      </c>
      <c r="N91" s="99">
        <f t="shared" si="12"/>
        <v>4.7065751549961643</v>
      </c>
    </row>
    <row r="92" spans="1:14" hidden="1">
      <c r="A92" s="94" t="s">
        <v>4</v>
      </c>
      <c r="B92" s="39" t="s">
        <v>1202</v>
      </c>
      <c r="C92" s="100" t="s">
        <v>1252</v>
      </c>
      <c r="D92" s="96">
        <v>1467</v>
      </c>
      <c r="E92" s="96">
        <v>39705</v>
      </c>
      <c r="F92" s="96"/>
      <c r="G92" s="96"/>
      <c r="H92" s="96">
        <v>61</v>
      </c>
      <c r="I92" s="96">
        <v>605</v>
      </c>
      <c r="J92" s="96">
        <v>5</v>
      </c>
      <c r="K92" s="96">
        <v>150</v>
      </c>
      <c r="L92" s="97">
        <f t="shared" si="11"/>
        <v>40460</v>
      </c>
      <c r="M92" s="98">
        <f t="shared" si="10"/>
        <v>0.41947456818794449</v>
      </c>
      <c r="N92" s="99">
        <f t="shared" si="12"/>
        <v>7.1310676591950566</v>
      </c>
    </row>
    <row r="93" spans="1:14" hidden="1">
      <c r="A93" s="94" t="s">
        <v>4</v>
      </c>
      <c r="B93" s="39" t="s">
        <v>1202</v>
      </c>
      <c r="C93" s="100" t="s">
        <v>1253</v>
      </c>
      <c r="D93" s="96">
        <v>170</v>
      </c>
      <c r="E93" s="96">
        <v>2210</v>
      </c>
      <c r="F93" s="96"/>
      <c r="G93" s="96"/>
      <c r="H93" s="96">
        <v>0</v>
      </c>
      <c r="I93" s="96">
        <v>0</v>
      </c>
      <c r="J93" s="96">
        <v>0</v>
      </c>
      <c r="K93" s="96">
        <v>0</v>
      </c>
      <c r="L93" s="97">
        <f t="shared" si="11"/>
        <v>2210</v>
      </c>
      <c r="M93" s="98">
        <f t="shared" si="10"/>
        <v>2.291247641362722E-2</v>
      </c>
      <c r="N93" s="99">
        <f t="shared" si="12"/>
        <v>0.38951209903166273</v>
      </c>
    </row>
    <row r="94" spans="1:14" hidden="1">
      <c r="A94" s="94" t="s">
        <v>4</v>
      </c>
      <c r="B94" s="39" t="s">
        <v>1203</v>
      </c>
      <c r="C94" s="95" t="s">
        <v>1248</v>
      </c>
      <c r="D94" s="96">
        <v>271</v>
      </c>
      <c r="E94" s="96">
        <v>6504</v>
      </c>
      <c r="F94" s="96"/>
      <c r="G94" s="96"/>
      <c r="H94" s="96">
        <v>25</v>
      </c>
      <c r="I94" s="96">
        <v>250</v>
      </c>
      <c r="J94" s="96">
        <v>5</v>
      </c>
      <c r="K94" s="96">
        <v>25</v>
      </c>
      <c r="L94" s="97">
        <f t="shared" si="11"/>
        <v>6779</v>
      </c>
      <c r="M94" s="98">
        <f>IF(L94="","",IFERROR(L94/SUMIFS($L:$L,$A:$A,A94,$B:$B,B94),""))</f>
        <v>7.3213668567478837E-2</v>
      </c>
      <c r="N94" s="99">
        <f t="shared" si="12"/>
        <v>1.2446323656471403</v>
      </c>
    </row>
    <row r="95" spans="1:14" hidden="1">
      <c r="A95" s="94" t="s">
        <v>4</v>
      </c>
      <c r="B95" s="39" t="s">
        <v>1203</v>
      </c>
      <c r="C95" s="95" t="s">
        <v>1247</v>
      </c>
      <c r="D95" s="96">
        <v>211</v>
      </c>
      <c r="E95" s="96">
        <v>3587</v>
      </c>
      <c r="F95" s="96"/>
      <c r="G95" s="96"/>
      <c r="H95" s="96">
        <v>401</v>
      </c>
      <c r="I95" s="96">
        <v>3805</v>
      </c>
      <c r="J95" s="96">
        <v>12</v>
      </c>
      <c r="K95" s="96">
        <v>160</v>
      </c>
      <c r="L95" s="97">
        <f t="shared" si="11"/>
        <v>7552</v>
      </c>
      <c r="M95" s="98">
        <f t="shared" ref="M95:M100" si="13">IF(L95="","",IFERROR(L95/SUMIFS($L:$L,$A:$A,A95,$B:$B,B95),""))</f>
        <v>8.1562121997580783E-2</v>
      </c>
      <c r="N95" s="99">
        <f t="shared" si="12"/>
        <v>1.3865560739588734</v>
      </c>
    </row>
    <row r="96" spans="1:14" hidden="1">
      <c r="A96" s="94" t="s">
        <v>4</v>
      </c>
      <c r="B96" s="39" t="s">
        <v>1203</v>
      </c>
      <c r="C96" s="95" t="s">
        <v>1250</v>
      </c>
      <c r="D96" s="96">
        <v>208</v>
      </c>
      <c r="E96" s="96">
        <v>5408</v>
      </c>
      <c r="F96" s="96"/>
      <c r="G96" s="96"/>
      <c r="H96" s="96">
        <v>96</v>
      </c>
      <c r="I96" s="96">
        <v>2240</v>
      </c>
      <c r="J96" s="96">
        <v>45</v>
      </c>
      <c r="K96" s="96">
        <v>225</v>
      </c>
      <c r="L96" s="97">
        <f t="shared" si="11"/>
        <v>7873</v>
      </c>
      <c r="M96" s="98">
        <f t="shared" si="13"/>
        <v>8.5028944185242789E-2</v>
      </c>
      <c r="N96" s="99">
        <f t="shared" si="12"/>
        <v>1.4454920511491274</v>
      </c>
    </row>
    <row r="97" spans="1:14" hidden="1">
      <c r="A97" s="94" t="s">
        <v>4</v>
      </c>
      <c r="B97" s="39" t="s">
        <v>1203</v>
      </c>
      <c r="C97" s="95" t="s">
        <v>1249</v>
      </c>
      <c r="D97" s="96">
        <v>129</v>
      </c>
      <c r="E97" s="96">
        <v>2322</v>
      </c>
      <c r="F97" s="96"/>
      <c r="G97" s="96"/>
      <c r="H97" s="96">
        <v>22</v>
      </c>
      <c r="I97" s="96">
        <v>205</v>
      </c>
      <c r="J97" s="96">
        <v>28</v>
      </c>
      <c r="K97" s="96">
        <v>140</v>
      </c>
      <c r="L97" s="97">
        <f t="shared" si="11"/>
        <v>2667</v>
      </c>
      <c r="M97" s="98">
        <f t="shared" si="13"/>
        <v>2.8803784344219804E-2</v>
      </c>
      <c r="N97" s="99">
        <f t="shared" si="12"/>
        <v>0.48966433385173669</v>
      </c>
    </row>
    <row r="98" spans="1:14" hidden="1">
      <c r="A98" s="94" t="s">
        <v>4</v>
      </c>
      <c r="B98" s="39" t="s">
        <v>1203</v>
      </c>
      <c r="C98" s="100" t="s">
        <v>1251</v>
      </c>
      <c r="D98" s="96">
        <v>1919</v>
      </c>
      <c r="E98" s="96">
        <v>32623</v>
      </c>
      <c r="F98" s="101">
        <v>67</v>
      </c>
      <c r="G98" s="96">
        <v>670</v>
      </c>
      <c r="H98" s="96">
        <v>1280</v>
      </c>
      <c r="I98" s="96">
        <v>-5563</v>
      </c>
      <c r="J98" s="96">
        <v>2</v>
      </c>
      <c r="K98" s="96">
        <v>10</v>
      </c>
      <c r="L98" s="97">
        <f t="shared" si="11"/>
        <v>27740</v>
      </c>
      <c r="M98" s="98">
        <f t="shared" si="13"/>
        <v>0.29959391740107139</v>
      </c>
      <c r="N98" s="99">
        <f t="shared" si="12"/>
        <v>5.0930965958182135</v>
      </c>
    </row>
    <row r="99" spans="1:14" hidden="1">
      <c r="A99" s="94" t="s">
        <v>4</v>
      </c>
      <c r="B99" s="39" t="s">
        <v>1203</v>
      </c>
      <c r="C99" s="100" t="s">
        <v>1252</v>
      </c>
      <c r="D99" s="96">
        <v>1354</v>
      </c>
      <c r="E99" s="96">
        <v>36726</v>
      </c>
      <c r="F99" s="96"/>
      <c r="G99" s="96"/>
      <c r="H99" s="96">
        <v>77</v>
      </c>
      <c r="I99" s="96">
        <v>710</v>
      </c>
      <c r="J99" s="96">
        <v>9</v>
      </c>
      <c r="K99" s="96">
        <v>270</v>
      </c>
      <c r="L99" s="97">
        <f t="shared" si="11"/>
        <v>37706</v>
      </c>
      <c r="M99" s="98">
        <f t="shared" si="13"/>
        <v>0.40722740625540005</v>
      </c>
      <c r="N99" s="99">
        <f t="shared" si="12"/>
        <v>6.9228659063418005</v>
      </c>
    </row>
    <row r="100" spans="1:14" hidden="1">
      <c r="A100" s="94" t="s">
        <v>4</v>
      </c>
      <c r="B100" s="39" t="s">
        <v>1203</v>
      </c>
      <c r="C100" s="100" t="s">
        <v>1253</v>
      </c>
      <c r="D100" s="96">
        <v>175</v>
      </c>
      <c r="E100" s="96">
        <v>2275</v>
      </c>
      <c r="F100" s="96"/>
      <c r="G100" s="96"/>
      <c r="H100" s="96">
        <v>0</v>
      </c>
      <c r="I100" s="96">
        <v>0</v>
      </c>
      <c r="J100" s="96">
        <v>0</v>
      </c>
      <c r="K100" s="96">
        <v>0</v>
      </c>
      <c r="L100" s="97">
        <f t="shared" si="11"/>
        <v>2275</v>
      </c>
      <c r="M100" s="98">
        <f t="shared" si="13"/>
        <v>2.4570157249006394E-2</v>
      </c>
      <c r="N100" s="99">
        <f t="shared" si="12"/>
        <v>0.41769267323310871</v>
      </c>
    </row>
    <row r="101" spans="1:14" hidden="1">
      <c r="A101" s="94" t="s">
        <v>4</v>
      </c>
      <c r="B101" s="39" t="s">
        <v>1204</v>
      </c>
      <c r="C101" s="100" t="s">
        <v>1248</v>
      </c>
      <c r="D101" s="29">
        <v>399</v>
      </c>
      <c r="E101" s="29">
        <v>9576</v>
      </c>
      <c r="F101" s="29"/>
      <c r="G101" s="29"/>
      <c r="H101" s="29">
        <v>75</v>
      </c>
      <c r="I101" s="29">
        <v>750</v>
      </c>
      <c r="J101" s="29">
        <v>12</v>
      </c>
      <c r="K101" s="29">
        <v>160</v>
      </c>
      <c r="L101" s="97">
        <f t="shared" si="11"/>
        <v>10486</v>
      </c>
      <c r="M101" s="98">
        <f>IF(L101="","",IFERROR(L101/SUMIFS($L:$L,$A:$A,A101,$B:$B,B101),""))</f>
        <v>9.8516521199936119E-2</v>
      </c>
      <c r="N101" s="99">
        <f t="shared" si="12"/>
        <v>1.6747808603989141</v>
      </c>
    </row>
    <row r="102" spans="1:14" hidden="1">
      <c r="A102" s="94" t="s">
        <v>4</v>
      </c>
      <c r="B102" s="39" t="s">
        <v>1204</v>
      </c>
      <c r="C102" s="100" t="s">
        <v>1247</v>
      </c>
      <c r="D102" s="29">
        <v>239</v>
      </c>
      <c r="E102" s="29">
        <v>4063</v>
      </c>
      <c r="F102" s="29"/>
      <c r="G102" s="29"/>
      <c r="H102" s="29">
        <v>440</v>
      </c>
      <c r="I102" s="29">
        <v>4125</v>
      </c>
      <c r="J102" s="29">
        <v>7</v>
      </c>
      <c r="K102" s="29">
        <v>95</v>
      </c>
      <c r="L102" s="97">
        <f t="shared" si="11"/>
        <v>8283</v>
      </c>
      <c r="M102" s="98">
        <f t="shared" ref="M102:M106" si="14">IF(L102="","",IFERROR(L102/SUMIFS($L:$L,$A:$A,A102,$B:$B,B102),""))</f>
        <v>7.7819220398538128E-2</v>
      </c>
      <c r="N102" s="99">
        <f t="shared" si="12"/>
        <v>1.3229267467751482</v>
      </c>
    </row>
    <row r="103" spans="1:14" hidden="1">
      <c r="A103" s="94" t="s">
        <v>4</v>
      </c>
      <c r="B103" s="39" t="s">
        <v>1204</v>
      </c>
      <c r="C103" s="100" t="s">
        <v>1250</v>
      </c>
      <c r="D103" s="29">
        <v>215</v>
      </c>
      <c r="E103" s="29">
        <v>5590</v>
      </c>
      <c r="F103" s="29"/>
      <c r="G103" s="29"/>
      <c r="H103" s="29">
        <v>88</v>
      </c>
      <c r="I103" s="29">
        <v>1960</v>
      </c>
      <c r="J103" s="29">
        <v>40</v>
      </c>
      <c r="K103" s="29">
        <v>200</v>
      </c>
      <c r="L103" s="97">
        <f t="shared" si="11"/>
        <v>7750</v>
      </c>
      <c r="M103" s="98">
        <f t="shared" si="14"/>
        <v>7.2811657381223041E-2</v>
      </c>
      <c r="N103" s="99">
        <f t="shared" si="12"/>
        <v>1.2377981754807916</v>
      </c>
    </row>
    <row r="104" spans="1:14" hidden="1">
      <c r="A104" s="94" t="s">
        <v>4</v>
      </c>
      <c r="B104" s="39" t="s">
        <v>1204</v>
      </c>
      <c r="C104" s="100" t="s">
        <v>1249</v>
      </c>
      <c r="D104" s="29">
        <v>141</v>
      </c>
      <c r="E104" s="29">
        <v>2538</v>
      </c>
      <c r="F104" s="29"/>
      <c r="G104" s="29"/>
      <c r="H104" s="29">
        <v>20</v>
      </c>
      <c r="I104" s="29">
        <v>195</v>
      </c>
      <c r="J104" s="29">
        <v>23</v>
      </c>
      <c r="K104" s="29">
        <v>115</v>
      </c>
      <c r="L104" s="97">
        <f t="shared" si="11"/>
        <v>2848</v>
      </c>
      <c r="M104" s="98">
        <f t="shared" si="14"/>
        <v>2.6757109706028806E-2</v>
      </c>
      <c r="N104" s="99">
        <f t="shared" si="12"/>
        <v>0.45487086500248969</v>
      </c>
    </row>
    <row r="105" spans="1:14" hidden="1">
      <c r="A105" s="94" t="s">
        <v>4</v>
      </c>
      <c r="B105" s="39" t="s">
        <v>1204</v>
      </c>
      <c r="C105" s="100" t="s">
        <v>1251</v>
      </c>
      <c r="D105" s="29">
        <v>2123</v>
      </c>
      <c r="E105" s="29">
        <v>36091</v>
      </c>
      <c r="F105" s="30">
        <v>61</v>
      </c>
      <c r="G105" s="29">
        <v>610</v>
      </c>
      <c r="H105" s="29">
        <v>1360</v>
      </c>
      <c r="I105" s="29">
        <v>-5729</v>
      </c>
      <c r="J105" s="29">
        <v>1</v>
      </c>
      <c r="K105" s="29">
        <v>5</v>
      </c>
      <c r="L105" s="97">
        <f t="shared" si="11"/>
        <v>30977</v>
      </c>
      <c r="M105" s="98">
        <f t="shared" si="14"/>
        <v>0.29103054331588984</v>
      </c>
      <c r="N105" s="99">
        <f t="shared" si="12"/>
        <v>4.9475192363701277</v>
      </c>
    </row>
    <row r="106" spans="1:14" hidden="1">
      <c r="A106" s="94" t="s">
        <v>4</v>
      </c>
      <c r="B106" s="39" t="s">
        <v>1204</v>
      </c>
      <c r="C106" s="100" t="s">
        <v>1252</v>
      </c>
      <c r="D106" s="29">
        <v>1568</v>
      </c>
      <c r="E106" s="29">
        <v>42641</v>
      </c>
      <c r="F106" s="29"/>
      <c r="G106" s="29"/>
      <c r="H106" s="29">
        <v>76</v>
      </c>
      <c r="I106" s="29">
        <v>760</v>
      </c>
      <c r="J106" s="29">
        <v>4</v>
      </c>
      <c r="K106" s="29">
        <v>120</v>
      </c>
      <c r="L106" s="97">
        <f t="shared" si="11"/>
        <v>43521</v>
      </c>
      <c r="M106" s="98">
        <f t="shared" si="14"/>
        <v>0.40888208269525267</v>
      </c>
      <c r="N106" s="99">
        <f t="shared" si="12"/>
        <v>6.9509954058192953</v>
      </c>
    </row>
    <row r="107" spans="1:14" hidden="1">
      <c r="A107" s="94" t="s">
        <v>4</v>
      </c>
      <c r="B107" s="39" t="s">
        <v>1204</v>
      </c>
      <c r="C107" s="100" t="s">
        <v>1253</v>
      </c>
      <c r="D107" s="29">
        <v>198</v>
      </c>
      <c r="E107" s="29">
        <v>2574</v>
      </c>
      <c r="F107" s="29"/>
      <c r="G107" s="29"/>
      <c r="H107" s="29">
        <v>0</v>
      </c>
      <c r="I107" s="29">
        <v>0</v>
      </c>
      <c r="J107" s="29">
        <v>0</v>
      </c>
      <c r="K107" s="29">
        <v>0</v>
      </c>
      <c r="L107" s="97">
        <f t="shared" si="11"/>
        <v>2574</v>
      </c>
      <c r="M107" s="98">
        <f>IF(L107="","",IFERROR(L107/SUMIFS($L:$L,$A:$A,A107,$B:$B,B107),""))</f>
        <v>2.4182865303131372E-2</v>
      </c>
      <c r="N107" s="99">
        <f t="shared" si="12"/>
        <v>0.4111087101532333</v>
      </c>
    </row>
    <row r="108" spans="1:14" hidden="1">
      <c r="A108" s="94" t="s">
        <v>4</v>
      </c>
      <c r="B108" s="39" t="s">
        <v>1205</v>
      </c>
      <c r="C108" s="100" t="s">
        <v>1248</v>
      </c>
      <c r="D108" s="29">
        <v>381</v>
      </c>
      <c r="E108" s="29">
        <v>9144</v>
      </c>
      <c r="F108" s="29"/>
      <c r="G108" s="29"/>
      <c r="H108" s="29">
        <v>40</v>
      </c>
      <c r="I108" s="29">
        <v>400</v>
      </c>
      <c r="J108" s="29">
        <v>11</v>
      </c>
      <c r="K108" s="29">
        <v>80</v>
      </c>
      <c r="L108" s="97">
        <f t="shared" si="11"/>
        <v>9624</v>
      </c>
      <c r="M108" s="98">
        <f t="shared" ref="M108:M114" si="15">IF(L108="","",IFERROR(L108/SUMIFS($L:$L,$A:$A,A108,$B:$B,B108),""))</f>
        <v>8.9055039419624685E-2</v>
      </c>
      <c r="N108" s="99">
        <f t="shared" si="12"/>
        <v>1.5139356701336197</v>
      </c>
    </row>
    <row r="109" spans="1:14" hidden="1">
      <c r="A109" s="94" t="s">
        <v>4</v>
      </c>
      <c r="B109" s="39" t="s">
        <v>1205</v>
      </c>
      <c r="C109" s="100" t="s">
        <v>1247</v>
      </c>
      <c r="D109" s="29">
        <v>252</v>
      </c>
      <c r="E109" s="29">
        <v>4284</v>
      </c>
      <c r="F109" s="29"/>
      <c r="G109" s="29"/>
      <c r="H109" s="29">
        <v>467</v>
      </c>
      <c r="I109" s="29">
        <v>4370</v>
      </c>
      <c r="J109" s="29">
        <v>8</v>
      </c>
      <c r="K109" s="29">
        <v>200</v>
      </c>
      <c r="L109" s="97">
        <f t="shared" si="11"/>
        <v>8854</v>
      </c>
      <c r="M109" s="98">
        <f t="shared" si="15"/>
        <v>8.1929895991412816E-2</v>
      </c>
      <c r="N109" s="99">
        <f t="shared" si="12"/>
        <v>1.3928082318540178</v>
      </c>
    </row>
    <row r="110" spans="1:14" hidden="1">
      <c r="A110" s="94" t="s">
        <v>4</v>
      </c>
      <c r="B110" s="39" t="s">
        <v>1205</v>
      </c>
      <c r="C110" s="100" t="s">
        <v>1250</v>
      </c>
      <c r="D110" s="29">
        <v>177</v>
      </c>
      <c r="E110" s="29">
        <v>4602</v>
      </c>
      <c r="F110" s="29"/>
      <c r="G110" s="29"/>
      <c r="H110" s="29">
        <v>99</v>
      </c>
      <c r="I110" s="29">
        <v>2450</v>
      </c>
      <c r="J110" s="29">
        <v>41</v>
      </c>
      <c r="K110" s="29">
        <v>230</v>
      </c>
      <c r="L110" s="97">
        <f t="shared" si="11"/>
        <v>7282</v>
      </c>
      <c r="M110" s="98">
        <f t="shared" si="15"/>
        <v>6.7383499278232228E-2</v>
      </c>
      <c r="N110" s="99">
        <f t="shared" si="12"/>
        <v>1.1455194877299479</v>
      </c>
    </row>
    <row r="111" spans="1:14" hidden="1">
      <c r="A111" s="94" t="s">
        <v>4</v>
      </c>
      <c r="B111" s="39" t="s">
        <v>1205</v>
      </c>
      <c r="C111" s="100" t="s">
        <v>1249</v>
      </c>
      <c r="D111" s="29">
        <v>138</v>
      </c>
      <c r="E111" s="29">
        <v>2484</v>
      </c>
      <c r="F111" s="29"/>
      <c r="G111" s="29"/>
      <c r="H111" s="29">
        <v>22</v>
      </c>
      <c r="I111" s="29">
        <v>220</v>
      </c>
      <c r="J111" s="29">
        <v>5</v>
      </c>
      <c r="K111" s="29">
        <v>25</v>
      </c>
      <c r="L111" s="97">
        <f t="shared" si="11"/>
        <v>2729</v>
      </c>
      <c r="M111" s="98">
        <f t="shared" si="15"/>
        <v>2.5252618721545692E-2</v>
      </c>
      <c r="N111" s="99">
        <f t="shared" si="12"/>
        <v>0.42929451826627679</v>
      </c>
    </row>
    <row r="112" spans="1:14" hidden="1">
      <c r="A112" s="94" t="s">
        <v>4</v>
      </c>
      <c r="B112" s="39" t="s">
        <v>1205</v>
      </c>
      <c r="C112" s="100" t="s">
        <v>1251</v>
      </c>
      <c r="D112" s="29">
        <v>2288</v>
      </c>
      <c r="E112" s="29">
        <v>38896</v>
      </c>
      <c r="F112" s="30">
        <v>59</v>
      </c>
      <c r="G112" s="29">
        <v>590</v>
      </c>
      <c r="H112" s="29">
        <v>1692</v>
      </c>
      <c r="I112" s="29">
        <v>-6246</v>
      </c>
      <c r="J112" s="29">
        <v>2</v>
      </c>
      <c r="K112" s="29">
        <v>10</v>
      </c>
      <c r="L112" s="97">
        <f t="shared" si="11"/>
        <v>33250</v>
      </c>
      <c r="M112" s="98">
        <f t="shared" si="15"/>
        <v>0.30767664803642153</v>
      </c>
      <c r="N112" s="99">
        <f t="shared" si="12"/>
        <v>5.2305030166191662</v>
      </c>
    </row>
    <row r="113" spans="1:14" hidden="1">
      <c r="A113" s="94" t="s">
        <v>4</v>
      </c>
      <c r="B113" s="39" t="s">
        <v>1205</v>
      </c>
      <c r="C113" s="100" t="s">
        <v>1252</v>
      </c>
      <c r="D113" s="29">
        <v>1559</v>
      </c>
      <c r="E113" s="29">
        <v>42470</v>
      </c>
      <c r="F113" s="29"/>
      <c r="G113" s="29"/>
      <c r="H113" s="29">
        <v>117</v>
      </c>
      <c r="I113" s="29">
        <v>1165</v>
      </c>
      <c r="J113" s="29">
        <v>4</v>
      </c>
      <c r="K113" s="29">
        <v>120</v>
      </c>
      <c r="L113" s="97">
        <f t="shared" si="11"/>
        <v>43755</v>
      </c>
      <c r="M113" s="98">
        <f t="shared" si="15"/>
        <v>0.40488396194988341</v>
      </c>
      <c r="N113" s="99">
        <f t="shared" si="12"/>
        <v>6.8830273531480177</v>
      </c>
    </row>
    <row r="114" spans="1:14" hidden="1">
      <c r="A114" s="94" t="s">
        <v>4</v>
      </c>
      <c r="B114" s="39" t="s">
        <v>1205</v>
      </c>
      <c r="C114" s="100" t="s">
        <v>1253</v>
      </c>
      <c r="D114" s="29">
        <v>198</v>
      </c>
      <c r="E114" s="29">
        <v>2574</v>
      </c>
      <c r="F114" s="29"/>
      <c r="G114" s="29"/>
      <c r="H114" s="29">
        <v>0</v>
      </c>
      <c r="I114" s="29">
        <v>0</v>
      </c>
      <c r="J114" s="29">
        <v>0</v>
      </c>
      <c r="K114" s="29">
        <v>0</v>
      </c>
      <c r="L114" s="97">
        <f t="shared" si="11"/>
        <v>2574</v>
      </c>
      <c r="M114" s="98">
        <f t="shared" si="15"/>
        <v>2.3818336602879669E-2</v>
      </c>
      <c r="N114" s="99">
        <f t="shared" si="12"/>
        <v>0.40491172224895439</v>
      </c>
    </row>
  </sheetData>
  <autoFilter ref="A2:N114" xr:uid="{65FE6D61-EE10-43A8-AADB-BC76383CE52B}">
    <filterColumn colId="0">
      <filters>
        <filter val="HAD"/>
      </filters>
    </filterColumn>
  </autoFilter>
  <phoneticPr fontId="3" type="noConversion"/>
  <conditionalFormatting sqref="C1:C2 C31:C1048576">
    <cfRule type="duplicateValues" dxfId="103" priority="3"/>
  </conditionalFormatting>
  <conditionalFormatting sqref="C3:C30">
    <cfRule type="duplicateValues" dxfId="65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151"/>
  <sheetViews>
    <sheetView zoomScale="85" zoomScaleNormal="85" workbookViewId="0">
      <selection activeCell="A134" sqref="A134:O151"/>
    </sheetView>
  </sheetViews>
  <sheetFormatPr defaultColWidth="8.7265625" defaultRowHeight="14.5"/>
  <cols>
    <col min="1" max="1" width="8.7265625" style="68"/>
    <col min="2" max="2" width="12" style="68" customWidth="1"/>
    <col min="3" max="14" width="8.7265625" style="68"/>
    <col min="15" max="15" width="8.7265625" style="88"/>
    <col min="16" max="16384" width="8.7265625" style="68"/>
  </cols>
  <sheetData>
    <row r="1" spans="1:15" s="86" customFormat="1" ht="25.5" customHeight="1">
      <c r="A1" s="83" t="s">
        <v>120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5"/>
    </row>
    <row r="2" spans="1:15" ht="23.15" customHeight="1">
      <c r="A2" s="36" t="s">
        <v>5</v>
      </c>
      <c r="B2" s="36" t="s">
        <v>1213</v>
      </c>
      <c r="C2" s="66" t="s">
        <v>7</v>
      </c>
      <c r="D2" s="66" t="s">
        <v>8</v>
      </c>
      <c r="E2" s="36" t="s">
        <v>12</v>
      </c>
      <c r="F2" s="36" t="s">
        <v>13</v>
      </c>
      <c r="G2" s="36" t="s">
        <v>109</v>
      </c>
      <c r="H2" s="36" t="s">
        <v>110</v>
      </c>
      <c r="I2" s="36" t="s">
        <v>111</v>
      </c>
      <c r="J2" s="36" t="s">
        <v>112</v>
      </c>
      <c r="K2" s="36" t="s">
        <v>113</v>
      </c>
      <c r="L2" s="36" t="s">
        <v>114</v>
      </c>
      <c r="M2" s="36" t="s">
        <v>115</v>
      </c>
      <c r="N2" s="36" t="s">
        <v>116</v>
      </c>
      <c r="O2" s="67" t="s">
        <v>0</v>
      </c>
    </row>
    <row r="3" spans="1:15">
      <c r="A3" s="40" t="s">
        <v>2</v>
      </c>
      <c r="B3" s="13" t="s">
        <v>1344</v>
      </c>
      <c r="C3" s="29">
        <v>24</v>
      </c>
      <c r="D3" s="29">
        <v>19</v>
      </c>
      <c r="E3" s="29">
        <v>18</v>
      </c>
      <c r="F3" s="29">
        <v>17</v>
      </c>
      <c r="G3" s="40"/>
      <c r="H3" s="40"/>
      <c r="I3" s="40"/>
      <c r="J3" s="40"/>
      <c r="K3" s="40"/>
      <c r="L3" s="40"/>
      <c r="M3" s="40"/>
      <c r="N3" s="40"/>
      <c r="O3" s="87">
        <v>78</v>
      </c>
    </row>
    <row r="4" spans="1:15">
      <c r="A4" s="40" t="s">
        <v>2</v>
      </c>
      <c r="B4" s="13" t="s">
        <v>1345</v>
      </c>
      <c r="C4" s="29"/>
      <c r="D4" s="29"/>
      <c r="E4" s="29">
        <v>1</v>
      </c>
      <c r="F4" s="29">
        <v>1</v>
      </c>
      <c r="G4" s="40"/>
      <c r="H4" s="40"/>
      <c r="I4" s="40"/>
      <c r="J4" s="40"/>
      <c r="K4" s="40"/>
      <c r="L4" s="40"/>
      <c r="M4" s="40"/>
      <c r="N4" s="40"/>
      <c r="O4" s="87">
        <v>2</v>
      </c>
    </row>
    <row r="5" spans="1:15">
      <c r="A5" s="40" t="s">
        <v>2</v>
      </c>
      <c r="B5" s="13" t="s">
        <v>1346</v>
      </c>
      <c r="C5" s="29">
        <v>54</v>
      </c>
      <c r="D5" s="29">
        <v>66</v>
      </c>
      <c r="E5" s="29">
        <v>67</v>
      </c>
      <c r="F5" s="29">
        <v>81</v>
      </c>
      <c r="G5" s="40"/>
      <c r="H5" s="40"/>
      <c r="I5" s="40"/>
      <c r="J5" s="40"/>
      <c r="K5" s="40"/>
      <c r="L5" s="40"/>
      <c r="M5" s="40"/>
      <c r="N5" s="40"/>
      <c r="O5" s="87">
        <v>268</v>
      </c>
    </row>
    <row r="6" spans="1:15">
      <c r="A6" s="40" t="s">
        <v>2</v>
      </c>
      <c r="B6" s="13" t="s">
        <v>1347</v>
      </c>
      <c r="C6" s="29">
        <v>228</v>
      </c>
      <c r="D6" s="29">
        <v>222</v>
      </c>
      <c r="E6" s="29">
        <v>350</v>
      </c>
      <c r="F6" s="29">
        <v>327</v>
      </c>
      <c r="G6" s="40"/>
      <c r="H6" s="40"/>
      <c r="I6" s="40"/>
      <c r="J6" s="40"/>
      <c r="K6" s="40"/>
      <c r="L6" s="40"/>
      <c r="M6" s="40"/>
      <c r="N6" s="40"/>
      <c r="O6" s="87">
        <v>1127</v>
      </c>
    </row>
    <row r="7" spans="1:15">
      <c r="A7" s="40" t="s">
        <v>2</v>
      </c>
      <c r="B7" s="13" t="s">
        <v>1348</v>
      </c>
      <c r="C7" s="29">
        <v>1</v>
      </c>
      <c r="D7" s="29"/>
      <c r="E7" s="29">
        <v>1</v>
      </c>
      <c r="F7" s="29">
        <v>2</v>
      </c>
      <c r="G7" s="40"/>
      <c r="H7" s="40"/>
      <c r="I7" s="40"/>
      <c r="J7" s="40"/>
      <c r="K7" s="40"/>
      <c r="L7" s="40"/>
      <c r="M7" s="40"/>
      <c r="N7" s="40"/>
      <c r="O7" s="87">
        <v>4</v>
      </c>
    </row>
    <row r="8" spans="1:15">
      <c r="A8" s="40" t="s">
        <v>2</v>
      </c>
      <c r="B8" s="13" t="s">
        <v>1349</v>
      </c>
      <c r="C8" s="29">
        <v>21</v>
      </c>
      <c r="D8" s="29">
        <v>24</v>
      </c>
      <c r="E8" s="29">
        <v>28</v>
      </c>
      <c r="F8" s="29">
        <v>24</v>
      </c>
      <c r="G8" s="40"/>
      <c r="H8" s="40"/>
      <c r="I8" s="40"/>
      <c r="J8" s="40"/>
      <c r="K8" s="40"/>
      <c r="L8" s="40"/>
      <c r="M8" s="40"/>
      <c r="N8" s="40"/>
      <c r="O8" s="87">
        <v>97</v>
      </c>
    </row>
    <row r="9" spans="1:15">
      <c r="A9" s="40" t="s">
        <v>2</v>
      </c>
      <c r="B9" s="13" t="s">
        <v>1266</v>
      </c>
      <c r="C9" s="29">
        <v>1</v>
      </c>
      <c r="D9" s="29">
        <v>1</v>
      </c>
      <c r="E9" s="29">
        <v>1</v>
      </c>
      <c r="F9" s="29"/>
      <c r="G9" s="40"/>
      <c r="H9" s="40"/>
      <c r="I9" s="40"/>
      <c r="J9" s="40"/>
      <c r="K9" s="40"/>
      <c r="L9" s="40"/>
      <c r="M9" s="40"/>
      <c r="N9" s="40"/>
      <c r="O9" s="87">
        <v>3</v>
      </c>
    </row>
    <row r="10" spans="1:15">
      <c r="A10" s="40" t="s">
        <v>2</v>
      </c>
      <c r="B10" s="13" t="s">
        <v>1350</v>
      </c>
      <c r="C10" s="29"/>
      <c r="D10" s="29"/>
      <c r="E10" s="29">
        <v>2</v>
      </c>
      <c r="F10" s="29"/>
      <c r="G10" s="40"/>
      <c r="H10" s="40"/>
      <c r="I10" s="40"/>
      <c r="J10" s="40"/>
      <c r="K10" s="40"/>
      <c r="L10" s="40"/>
      <c r="M10" s="40"/>
      <c r="N10" s="40"/>
      <c r="O10" s="87">
        <v>2</v>
      </c>
    </row>
    <row r="11" spans="1:15">
      <c r="A11" s="40" t="s">
        <v>2</v>
      </c>
      <c r="B11" s="13" t="s">
        <v>1351</v>
      </c>
      <c r="C11" s="29">
        <v>35</v>
      </c>
      <c r="D11" s="29">
        <v>30</v>
      </c>
      <c r="E11" s="29">
        <v>29</v>
      </c>
      <c r="F11" s="29">
        <v>34</v>
      </c>
      <c r="G11" s="40"/>
      <c r="H11" s="40"/>
      <c r="I11" s="40"/>
      <c r="J11" s="40"/>
      <c r="K11" s="40"/>
      <c r="L11" s="40"/>
      <c r="M11" s="40"/>
      <c r="N11" s="40"/>
      <c r="O11" s="87">
        <v>128</v>
      </c>
    </row>
    <row r="12" spans="1:15">
      <c r="A12" s="40" t="s">
        <v>2</v>
      </c>
      <c r="B12" s="13" t="s">
        <v>1352</v>
      </c>
      <c r="C12" s="29"/>
      <c r="D12" s="29">
        <v>4</v>
      </c>
      <c r="E12" s="29">
        <v>1</v>
      </c>
      <c r="F12" s="29">
        <v>2</v>
      </c>
      <c r="G12" s="40"/>
      <c r="H12" s="40"/>
      <c r="I12" s="40"/>
      <c r="J12" s="40"/>
      <c r="K12" s="40"/>
      <c r="L12" s="40"/>
      <c r="M12" s="40"/>
      <c r="N12" s="40"/>
      <c r="O12" s="87">
        <v>7</v>
      </c>
    </row>
    <row r="13" spans="1:15">
      <c r="A13" s="40" t="s">
        <v>2</v>
      </c>
      <c r="B13" s="13" t="s">
        <v>1353</v>
      </c>
      <c r="C13" s="29"/>
      <c r="D13" s="29"/>
      <c r="E13" s="29"/>
      <c r="F13" s="29">
        <v>2</v>
      </c>
      <c r="G13" s="40"/>
      <c r="H13" s="40"/>
      <c r="I13" s="40"/>
      <c r="J13" s="40"/>
      <c r="K13" s="40"/>
      <c r="L13" s="40"/>
      <c r="M13" s="40"/>
      <c r="N13" s="40"/>
      <c r="O13" s="87">
        <v>2</v>
      </c>
    </row>
    <row r="14" spans="1:15">
      <c r="A14" s="40" t="s">
        <v>2</v>
      </c>
      <c r="B14" s="13" t="s">
        <v>1354</v>
      </c>
      <c r="C14" s="29">
        <v>113</v>
      </c>
      <c r="D14" s="29">
        <v>114</v>
      </c>
      <c r="E14" s="29">
        <v>125</v>
      </c>
      <c r="F14" s="29">
        <v>122</v>
      </c>
      <c r="G14" s="40"/>
      <c r="H14" s="40"/>
      <c r="I14" s="40"/>
      <c r="J14" s="40"/>
      <c r="K14" s="40"/>
      <c r="L14" s="40"/>
      <c r="M14" s="40"/>
      <c r="N14" s="40"/>
      <c r="O14" s="87">
        <v>474</v>
      </c>
    </row>
    <row r="15" spans="1:15">
      <c r="A15" s="40" t="s">
        <v>2</v>
      </c>
      <c r="B15" s="13" t="s">
        <v>1355</v>
      </c>
      <c r="C15" s="29">
        <v>12</v>
      </c>
      <c r="D15" s="29">
        <v>13</v>
      </c>
      <c r="E15" s="29">
        <v>2</v>
      </c>
      <c r="F15" s="29">
        <v>12</v>
      </c>
      <c r="G15" s="40"/>
      <c r="H15" s="40"/>
      <c r="I15" s="40"/>
      <c r="J15" s="40"/>
      <c r="K15" s="40"/>
      <c r="L15" s="40"/>
      <c r="M15" s="40"/>
      <c r="N15" s="40"/>
      <c r="O15" s="87">
        <v>39</v>
      </c>
    </row>
    <row r="16" spans="1:15">
      <c r="A16" s="40" t="s">
        <v>2</v>
      </c>
      <c r="B16" s="13" t="s">
        <v>1346</v>
      </c>
      <c r="C16" s="29">
        <v>166</v>
      </c>
      <c r="D16" s="29">
        <v>213</v>
      </c>
      <c r="E16" s="29">
        <v>173</v>
      </c>
      <c r="F16" s="29">
        <v>186</v>
      </c>
      <c r="G16" s="40"/>
      <c r="H16" s="40"/>
      <c r="I16" s="40"/>
      <c r="J16" s="40"/>
      <c r="K16" s="40"/>
      <c r="L16" s="40"/>
      <c r="M16" s="40"/>
      <c r="N16" s="40"/>
      <c r="O16" s="87">
        <v>738</v>
      </c>
    </row>
    <row r="17" spans="1:15">
      <c r="A17" s="40" t="s">
        <v>2</v>
      </c>
      <c r="B17" s="13" t="s">
        <v>1356</v>
      </c>
      <c r="C17" s="29"/>
      <c r="D17" s="29">
        <v>6</v>
      </c>
      <c r="E17" s="29">
        <v>3</v>
      </c>
      <c r="F17" s="29">
        <v>10</v>
      </c>
      <c r="G17" s="40"/>
      <c r="H17" s="40"/>
      <c r="I17" s="40"/>
      <c r="J17" s="40"/>
      <c r="K17" s="40"/>
      <c r="L17" s="40"/>
      <c r="M17" s="40"/>
      <c r="N17" s="40"/>
      <c r="O17" s="87">
        <v>19</v>
      </c>
    </row>
    <row r="18" spans="1:15">
      <c r="A18" s="40" t="s">
        <v>2</v>
      </c>
      <c r="B18" s="13" t="s">
        <v>1357</v>
      </c>
      <c r="C18" s="29">
        <v>165</v>
      </c>
      <c r="D18" s="29">
        <v>84</v>
      </c>
      <c r="E18" s="29">
        <v>112</v>
      </c>
      <c r="F18" s="29">
        <v>118</v>
      </c>
      <c r="G18" s="40"/>
      <c r="H18" s="40"/>
      <c r="I18" s="40"/>
      <c r="J18" s="40"/>
      <c r="K18" s="40"/>
      <c r="L18" s="40"/>
      <c r="M18" s="40"/>
      <c r="N18" s="40"/>
      <c r="O18" s="87">
        <v>479</v>
      </c>
    </row>
    <row r="19" spans="1:15">
      <c r="A19" s="40" t="s">
        <v>2</v>
      </c>
      <c r="B19" s="13" t="s">
        <v>1349</v>
      </c>
      <c r="C19" s="29">
        <v>196</v>
      </c>
      <c r="D19" s="29">
        <v>205</v>
      </c>
      <c r="E19" s="29">
        <v>196</v>
      </c>
      <c r="F19" s="29">
        <v>203</v>
      </c>
      <c r="G19" s="40"/>
      <c r="H19" s="40"/>
      <c r="I19" s="40"/>
      <c r="J19" s="40"/>
      <c r="K19" s="40"/>
      <c r="L19" s="40"/>
      <c r="M19" s="40"/>
      <c r="N19" s="40"/>
      <c r="O19" s="87">
        <v>800</v>
      </c>
    </row>
    <row r="20" spans="1:15">
      <c r="A20" s="40" t="s">
        <v>2</v>
      </c>
      <c r="B20" s="13" t="s">
        <v>1358</v>
      </c>
      <c r="C20" s="29">
        <v>16</v>
      </c>
      <c r="D20" s="29">
        <v>19</v>
      </c>
      <c r="E20" s="29">
        <v>36</v>
      </c>
      <c r="F20" s="29">
        <v>32</v>
      </c>
      <c r="G20" s="40"/>
      <c r="H20" s="40"/>
      <c r="I20" s="40"/>
      <c r="J20" s="40"/>
      <c r="K20" s="40"/>
      <c r="L20" s="40"/>
      <c r="M20" s="40"/>
      <c r="N20" s="40"/>
      <c r="O20" s="87">
        <v>103</v>
      </c>
    </row>
    <row r="21" spans="1:15">
      <c r="A21" s="40" t="s">
        <v>2</v>
      </c>
      <c r="B21" s="13" t="s">
        <v>1266</v>
      </c>
      <c r="C21" s="29">
        <v>3</v>
      </c>
      <c r="D21" s="29"/>
      <c r="E21" s="29">
        <v>1</v>
      </c>
      <c r="F21" s="29">
        <v>3</v>
      </c>
      <c r="G21" s="40"/>
      <c r="H21" s="40"/>
      <c r="I21" s="40"/>
      <c r="J21" s="40"/>
      <c r="K21" s="40"/>
      <c r="L21" s="40"/>
      <c r="M21" s="40"/>
      <c r="N21" s="40"/>
      <c r="O21" s="87">
        <v>7</v>
      </c>
    </row>
    <row r="22" spans="1:15">
      <c r="A22" s="40" t="s">
        <v>2</v>
      </c>
      <c r="B22" s="13" t="s">
        <v>1350</v>
      </c>
      <c r="C22" s="29">
        <v>4</v>
      </c>
      <c r="D22" s="29">
        <v>4</v>
      </c>
      <c r="E22" s="29"/>
      <c r="F22" s="29">
        <v>6</v>
      </c>
      <c r="G22" s="40"/>
      <c r="H22" s="40"/>
      <c r="I22" s="40"/>
      <c r="J22" s="40"/>
      <c r="K22" s="40"/>
      <c r="L22" s="40"/>
      <c r="M22" s="40"/>
      <c r="N22" s="40"/>
      <c r="O22" s="87">
        <v>14</v>
      </c>
    </row>
    <row r="23" spans="1:15">
      <c r="A23" s="40" t="s">
        <v>2</v>
      </c>
      <c r="B23" s="13" t="s">
        <v>1346</v>
      </c>
      <c r="C23" s="29"/>
      <c r="D23" s="29"/>
      <c r="E23" s="29">
        <v>1</v>
      </c>
      <c r="F23" s="29"/>
      <c r="G23" s="40"/>
      <c r="H23" s="40"/>
      <c r="I23" s="40"/>
      <c r="J23" s="40"/>
      <c r="K23" s="40"/>
      <c r="L23" s="40"/>
      <c r="M23" s="40"/>
      <c r="N23" s="40"/>
      <c r="O23" s="87">
        <v>1</v>
      </c>
    </row>
    <row r="24" spans="1:15">
      <c r="A24" s="40" t="s">
        <v>2</v>
      </c>
      <c r="B24" s="13" t="s">
        <v>1359</v>
      </c>
      <c r="C24" s="29">
        <v>1</v>
      </c>
      <c r="D24" s="29">
        <v>2</v>
      </c>
      <c r="E24" s="29">
        <v>2</v>
      </c>
      <c r="F24" s="29">
        <v>1</v>
      </c>
      <c r="G24" s="40"/>
      <c r="H24" s="40"/>
      <c r="I24" s="40"/>
      <c r="J24" s="40"/>
      <c r="K24" s="40"/>
      <c r="L24" s="40"/>
      <c r="M24" s="40"/>
      <c r="N24" s="40"/>
      <c r="O24" s="87">
        <v>6</v>
      </c>
    </row>
    <row r="25" spans="1:15">
      <c r="A25" s="40" t="s">
        <v>2</v>
      </c>
      <c r="B25" s="13" t="s">
        <v>1360</v>
      </c>
      <c r="C25" s="29">
        <v>1</v>
      </c>
      <c r="D25" s="29"/>
      <c r="E25" s="29">
        <v>5</v>
      </c>
      <c r="F25" s="29">
        <v>2</v>
      </c>
      <c r="G25" s="40"/>
      <c r="H25" s="40"/>
      <c r="I25" s="40"/>
      <c r="J25" s="40"/>
      <c r="K25" s="40"/>
      <c r="L25" s="40"/>
      <c r="M25" s="40"/>
      <c r="N25" s="40"/>
      <c r="O25" s="87">
        <v>8</v>
      </c>
    </row>
    <row r="26" spans="1:15">
      <c r="A26" s="40" t="s">
        <v>2</v>
      </c>
      <c r="B26" s="13" t="s">
        <v>1350</v>
      </c>
      <c r="C26" s="29"/>
      <c r="D26" s="29">
        <v>1</v>
      </c>
      <c r="E26" s="29">
        <v>1</v>
      </c>
      <c r="F26" s="29">
        <v>1</v>
      </c>
      <c r="G26" s="40"/>
      <c r="H26" s="40"/>
      <c r="I26" s="40"/>
      <c r="J26" s="40"/>
      <c r="K26" s="40"/>
      <c r="L26" s="40"/>
      <c r="M26" s="40"/>
      <c r="N26" s="40"/>
      <c r="O26" s="87">
        <v>3</v>
      </c>
    </row>
    <row r="27" spans="1:15">
      <c r="A27" s="40" t="s">
        <v>2</v>
      </c>
      <c r="B27" s="13" t="s">
        <v>1346</v>
      </c>
      <c r="C27" s="29">
        <v>8</v>
      </c>
      <c r="D27" s="29">
        <v>6</v>
      </c>
      <c r="E27" s="29">
        <v>5</v>
      </c>
      <c r="F27" s="29">
        <v>3</v>
      </c>
      <c r="G27" s="40"/>
      <c r="H27" s="40"/>
      <c r="I27" s="40"/>
      <c r="J27" s="40"/>
      <c r="K27" s="40"/>
      <c r="L27" s="40"/>
      <c r="M27" s="40"/>
      <c r="N27" s="40"/>
      <c r="O27" s="87">
        <v>22</v>
      </c>
    </row>
    <row r="28" spans="1:15">
      <c r="A28" s="40" t="s">
        <v>2</v>
      </c>
      <c r="B28" s="13" t="s">
        <v>1358</v>
      </c>
      <c r="C28" s="29"/>
      <c r="D28" s="29"/>
      <c r="E28" s="29">
        <v>2</v>
      </c>
      <c r="F28" s="29"/>
      <c r="G28" s="40"/>
      <c r="H28" s="40"/>
      <c r="I28" s="40"/>
      <c r="J28" s="40"/>
      <c r="K28" s="40"/>
      <c r="L28" s="40"/>
      <c r="M28" s="40"/>
      <c r="N28" s="40"/>
      <c r="O28" s="87">
        <v>2</v>
      </c>
    </row>
    <row r="29" spans="1:15">
      <c r="A29" s="40" t="s">
        <v>2</v>
      </c>
      <c r="B29" s="13" t="s">
        <v>1350</v>
      </c>
      <c r="C29" s="29">
        <v>6</v>
      </c>
      <c r="D29" s="29">
        <v>6</v>
      </c>
      <c r="E29" s="29">
        <v>10</v>
      </c>
      <c r="F29" s="29">
        <v>8</v>
      </c>
      <c r="G29" s="40"/>
      <c r="H29" s="40"/>
      <c r="I29" s="40"/>
      <c r="J29" s="40"/>
      <c r="K29" s="40"/>
      <c r="L29" s="40"/>
      <c r="M29" s="40"/>
      <c r="N29" s="40"/>
      <c r="O29" s="87">
        <v>30</v>
      </c>
    </row>
    <row r="30" spans="1:15">
      <c r="A30" s="40" t="s">
        <v>2</v>
      </c>
      <c r="B30" s="13" t="s">
        <v>1346</v>
      </c>
      <c r="C30" s="29">
        <v>128</v>
      </c>
      <c r="D30" s="29">
        <v>136</v>
      </c>
      <c r="E30" s="29">
        <v>154</v>
      </c>
      <c r="F30" s="29">
        <v>191</v>
      </c>
      <c r="G30" s="40"/>
      <c r="H30" s="40"/>
      <c r="I30" s="40"/>
      <c r="J30" s="40"/>
      <c r="K30" s="40"/>
      <c r="L30" s="40"/>
      <c r="M30" s="40"/>
      <c r="N30" s="40"/>
      <c r="O30" s="87">
        <v>609</v>
      </c>
    </row>
    <row r="31" spans="1:15">
      <c r="A31" s="40" t="s">
        <v>2</v>
      </c>
      <c r="B31" s="13" t="s">
        <v>1356</v>
      </c>
      <c r="C31" s="29">
        <v>1</v>
      </c>
      <c r="D31" s="29"/>
      <c r="E31" s="29"/>
      <c r="F31" s="29"/>
      <c r="G31" s="40"/>
      <c r="H31" s="40"/>
      <c r="I31" s="40"/>
      <c r="J31" s="40"/>
      <c r="K31" s="40"/>
      <c r="L31" s="40"/>
      <c r="M31" s="40"/>
      <c r="N31" s="40"/>
      <c r="O31" s="87">
        <v>1</v>
      </c>
    </row>
    <row r="32" spans="1:15">
      <c r="A32" s="40" t="s">
        <v>2</v>
      </c>
      <c r="B32" s="13" t="s">
        <v>1361</v>
      </c>
      <c r="C32" s="29">
        <v>27</v>
      </c>
      <c r="D32" s="29"/>
      <c r="E32" s="29"/>
      <c r="F32" s="29"/>
      <c r="G32" s="40"/>
      <c r="H32" s="40"/>
      <c r="I32" s="40"/>
      <c r="J32" s="40"/>
      <c r="K32" s="40"/>
      <c r="L32" s="40"/>
      <c r="M32" s="40"/>
      <c r="N32" s="40"/>
      <c r="O32" s="87">
        <v>27</v>
      </c>
    </row>
    <row r="33" spans="1:15">
      <c r="A33" s="40" t="s">
        <v>2</v>
      </c>
      <c r="B33" s="13" t="s">
        <v>1349</v>
      </c>
      <c r="C33" s="29">
        <v>19</v>
      </c>
      <c r="D33" s="29">
        <v>28</v>
      </c>
      <c r="E33" s="29">
        <v>20</v>
      </c>
      <c r="F33" s="29">
        <v>13</v>
      </c>
      <c r="G33" s="40"/>
      <c r="H33" s="40"/>
      <c r="I33" s="40"/>
      <c r="J33" s="40"/>
      <c r="K33" s="40"/>
      <c r="L33" s="40"/>
      <c r="M33" s="40"/>
      <c r="N33" s="40"/>
      <c r="O33" s="87">
        <v>80</v>
      </c>
    </row>
    <row r="34" spans="1:15">
      <c r="A34" s="40" t="s">
        <v>2</v>
      </c>
      <c r="B34" s="13" t="s">
        <v>1358</v>
      </c>
      <c r="C34" s="29">
        <v>2</v>
      </c>
      <c r="D34" s="29">
        <v>2</v>
      </c>
      <c r="E34" s="29">
        <v>2</v>
      </c>
      <c r="F34" s="29">
        <v>2</v>
      </c>
      <c r="G34" s="40"/>
      <c r="H34" s="40"/>
      <c r="I34" s="40"/>
      <c r="J34" s="40"/>
      <c r="K34" s="40"/>
      <c r="L34" s="40"/>
      <c r="M34" s="40"/>
      <c r="N34" s="40"/>
      <c r="O34" s="87">
        <v>8</v>
      </c>
    </row>
    <row r="35" spans="1:15">
      <c r="A35" s="40" t="s">
        <v>2</v>
      </c>
      <c r="B35" s="13" t="s">
        <v>1266</v>
      </c>
      <c r="C35" s="29">
        <v>23</v>
      </c>
      <c r="D35" s="29">
        <v>20</v>
      </c>
      <c r="E35" s="29">
        <v>23</v>
      </c>
      <c r="F35" s="29">
        <v>23</v>
      </c>
      <c r="G35" s="40"/>
      <c r="H35" s="40"/>
      <c r="I35" s="40"/>
      <c r="J35" s="40"/>
      <c r="K35" s="40"/>
      <c r="L35" s="40"/>
      <c r="M35" s="40"/>
      <c r="N35" s="40"/>
      <c r="O35" s="87">
        <v>89</v>
      </c>
    </row>
    <row r="36" spans="1:15">
      <c r="A36" s="40" t="s">
        <v>2</v>
      </c>
      <c r="B36" s="13" t="s">
        <v>1361</v>
      </c>
      <c r="C36" s="29">
        <v>4</v>
      </c>
      <c r="D36" s="29">
        <v>7</v>
      </c>
      <c r="E36" s="29">
        <v>3</v>
      </c>
      <c r="F36" s="29">
        <v>6</v>
      </c>
      <c r="G36" s="40"/>
      <c r="H36" s="40"/>
      <c r="I36" s="40"/>
      <c r="J36" s="40"/>
      <c r="K36" s="40"/>
      <c r="L36" s="40"/>
      <c r="M36" s="40"/>
      <c r="N36" s="40"/>
      <c r="O36" s="87">
        <v>20</v>
      </c>
    </row>
    <row r="37" spans="1:15">
      <c r="A37" s="40" t="s">
        <v>2</v>
      </c>
      <c r="B37" s="13" t="s">
        <v>1352</v>
      </c>
      <c r="C37" s="29">
        <v>61</v>
      </c>
      <c r="D37" s="29">
        <v>46</v>
      </c>
      <c r="E37" s="29">
        <v>51</v>
      </c>
      <c r="F37" s="29">
        <v>66</v>
      </c>
      <c r="G37" s="40"/>
      <c r="H37" s="40"/>
      <c r="I37" s="40"/>
      <c r="J37" s="40"/>
      <c r="K37" s="40"/>
      <c r="L37" s="40"/>
      <c r="M37" s="40"/>
      <c r="N37" s="40"/>
      <c r="O37" s="87">
        <v>224</v>
      </c>
    </row>
    <row r="38" spans="1:15">
      <c r="A38" s="40" t="s">
        <v>2</v>
      </c>
      <c r="B38" s="13" t="s">
        <v>1362</v>
      </c>
      <c r="C38" s="29">
        <v>8</v>
      </c>
      <c r="D38" s="29">
        <v>16</v>
      </c>
      <c r="E38" s="29">
        <v>5</v>
      </c>
      <c r="F38" s="29">
        <v>12</v>
      </c>
      <c r="G38" s="40"/>
      <c r="H38" s="40"/>
      <c r="I38" s="40"/>
      <c r="J38" s="40"/>
      <c r="K38" s="40"/>
      <c r="L38" s="40"/>
      <c r="M38" s="40"/>
      <c r="N38" s="40"/>
      <c r="O38" s="87">
        <v>41</v>
      </c>
    </row>
    <row r="39" spans="1:15">
      <c r="A39" s="40" t="s">
        <v>2</v>
      </c>
      <c r="B39" s="13" t="s">
        <v>1353</v>
      </c>
      <c r="C39" s="29">
        <v>1</v>
      </c>
      <c r="D39" s="29"/>
      <c r="E39" s="29"/>
      <c r="F39" s="29"/>
      <c r="G39" s="40"/>
      <c r="H39" s="40"/>
      <c r="I39" s="40"/>
      <c r="J39" s="40"/>
      <c r="K39" s="40"/>
      <c r="L39" s="40"/>
      <c r="M39" s="40"/>
      <c r="N39" s="40"/>
      <c r="O39" s="87">
        <v>1</v>
      </c>
    </row>
    <row r="40" spans="1:15">
      <c r="A40" s="40" t="s">
        <v>2</v>
      </c>
      <c r="B40" s="13" t="s">
        <v>1346</v>
      </c>
      <c r="C40" s="29">
        <v>188</v>
      </c>
      <c r="D40" s="29">
        <v>287</v>
      </c>
      <c r="E40" s="29">
        <v>339</v>
      </c>
      <c r="F40" s="29">
        <v>430</v>
      </c>
      <c r="G40" s="40"/>
      <c r="H40" s="40"/>
      <c r="I40" s="40"/>
      <c r="J40" s="40"/>
      <c r="K40" s="40"/>
      <c r="L40" s="40"/>
      <c r="M40" s="40"/>
      <c r="N40" s="40"/>
      <c r="O40" s="87">
        <v>1244</v>
      </c>
    </row>
    <row r="41" spans="1:15">
      <c r="A41" s="40" t="s">
        <v>2</v>
      </c>
      <c r="B41" s="13" t="s">
        <v>1363</v>
      </c>
      <c r="C41" s="29">
        <v>48</v>
      </c>
      <c r="D41" s="29"/>
      <c r="E41" s="29"/>
      <c r="F41" s="29"/>
      <c r="G41" s="40"/>
      <c r="H41" s="40"/>
      <c r="I41" s="40"/>
      <c r="J41" s="40"/>
      <c r="K41" s="40"/>
      <c r="L41" s="40"/>
      <c r="M41" s="40"/>
      <c r="N41" s="40"/>
      <c r="O41" s="87">
        <v>48</v>
      </c>
    </row>
    <row r="42" spans="1:15">
      <c r="A42" s="40" t="s">
        <v>2</v>
      </c>
      <c r="B42" s="13" t="s">
        <v>1349</v>
      </c>
      <c r="C42" s="29">
        <v>30</v>
      </c>
      <c r="D42" s="29">
        <v>15</v>
      </c>
      <c r="E42" s="29">
        <v>29</v>
      </c>
      <c r="F42" s="29">
        <v>29</v>
      </c>
      <c r="G42" s="40"/>
      <c r="H42" s="40"/>
      <c r="I42" s="40"/>
      <c r="J42" s="40"/>
      <c r="K42" s="40"/>
      <c r="L42" s="40"/>
      <c r="M42" s="40"/>
      <c r="N42" s="40"/>
      <c r="O42" s="87">
        <v>103</v>
      </c>
    </row>
    <row r="43" spans="1:15">
      <c r="A43" s="40" t="s">
        <v>2</v>
      </c>
      <c r="B43" s="13" t="s">
        <v>1358</v>
      </c>
      <c r="C43" s="29"/>
      <c r="D43" s="29">
        <v>1</v>
      </c>
      <c r="E43" s="29">
        <v>1</v>
      </c>
      <c r="F43" s="29"/>
      <c r="G43" s="40"/>
      <c r="H43" s="40"/>
      <c r="I43" s="40"/>
      <c r="J43" s="40"/>
      <c r="K43" s="40"/>
      <c r="L43" s="40"/>
      <c r="M43" s="40"/>
      <c r="N43" s="40"/>
      <c r="O43" s="87">
        <v>2</v>
      </c>
    </row>
    <row r="44" spans="1:15">
      <c r="A44" s="40" t="s">
        <v>2</v>
      </c>
      <c r="B44" s="13" t="s">
        <v>1266</v>
      </c>
      <c r="C44" s="29"/>
      <c r="D44" s="29">
        <v>2</v>
      </c>
      <c r="E44" s="29"/>
      <c r="F44" s="29">
        <v>1</v>
      </c>
      <c r="G44" s="40"/>
      <c r="H44" s="40"/>
      <c r="I44" s="40"/>
      <c r="J44" s="40"/>
      <c r="K44" s="40"/>
      <c r="L44" s="40"/>
      <c r="M44" s="40"/>
      <c r="N44" s="40"/>
      <c r="O44" s="87">
        <v>3</v>
      </c>
    </row>
    <row r="45" spans="1:15">
      <c r="A45" s="40" t="s">
        <v>2</v>
      </c>
      <c r="B45" s="13" t="s">
        <v>1364</v>
      </c>
      <c r="C45" s="29"/>
      <c r="D45" s="29">
        <v>1</v>
      </c>
      <c r="E45" s="29"/>
      <c r="F45" s="29">
        <v>1</v>
      </c>
      <c r="G45" s="40"/>
      <c r="H45" s="40"/>
      <c r="I45" s="40"/>
      <c r="J45" s="40"/>
      <c r="K45" s="40"/>
      <c r="L45" s="40"/>
      <c r="M45" s="40"/>
      <c r="N45" s="40"/>
      <c r="O45" s="87">
        <v>2</v>
      </c>
    </row>
    <row r="46" spans="1:15">
      <c r="A46" s="40" t="s">
        <v>2</v>
      </c>
      <c r="B46" s="13" t="s">
        <v>1263</v>
      </c>
      <c r="C46" s="29"/>
      <c r="D46" s="29"/>
      <c r="E46" s="29">
        <v>1</v>
      </c>
      <c r="F46" s="29">
        <v>1</v>
      </c>
      <c r="G46" s="40"/>
      <c r="H46" s="40"/>
      <c r="I46" s="40"/>
      <c r="J46" s="40"/>
      <c r="K46" s="40"/>
      <c r="L46" s="40"/>
      <c r="M46" s="40"/>
      <c r="N46" s="40"/>
      <c r="O46" s="87">
        <v>2</v>
      </c>
    </row>
    <row r="47" spans="1:15">
      <c r="A47" s="40" t="s">
        <v>2</v>
      </c>
      <c r="B47" s="13" t="s">
        <v>1352</v>
      </c>
      <c r="C47" s="29"/>
      <c r="D47" s="29"/>
      <c r="E47" s="29"/>
      <c r="F47" s="29">
        <v>13</v>
      </c>
      <c r="G47" s="40"/>
      <c r="H47" s="40"/>
      <c r="I47" s="40"/>
      <c r="J47" s="40"/>
      <c r="K47" s="40"/>
      <c r="L47" s="40"/>
      <c r="M47" s="40"/>
      <c r="N47" s="40"/>
      <c r="O47" s="87">
        <v>13</v>
      </c>
    </row>
    <row r="48" spans="1:15">
      <c r="A48" s="40" t="s">
        <v>2</v>
      </c>
      <c r="B48" s="13" t="s">
        <v>1362</v>
      </c>
      <c r="C48" s="29">
        <v>1</v>
      </c>
      <c r="D48" s="29">
        <v>2</v>
      </c>
      <c r="E48" s="29">
        <v>1</v>
      </c>
      <c r="F48" s="29">
        <v>2</v>
      </c>
      <c r="G48" s="40"/>
      <c r="H48" s="40"/>
      <c r="I48" s="40"/>
      <c r="J48" s="40"/>
      <c r="K48" s="40"/>
      <c r="L48" s="40"/>
      <c r="M48" s="40"/>
      <c r="N48" s="40"/>
      <c r="O48" s="87">
        <v>6</v>
      </c>
    </row>
    <row r="49" spans="1:15">
      <c r="A49" s="40" t="s">
        <v>2</v>
      </c>
      <c r="B49" s="13" t="s">
        <v>1353</v>
      </c>
      <c r="C49" s="29">
        <v>37</v>
      </c>
      <c r="D49" s="29">
        <v>33</v>
      </c>
      <c r="E49" s="29">
        <v>44</v>
      </c>
      <c r="F49" s="29">
        <v>24</v>
      </c>
      <c r="G49" s="40"/>
      <c r="H49" s="40"/>
      <c r="I49" s="40"/>
      <c r="J49" s="40"/>
      <c r="K49" s="40"/>
      <c r="L49" s="40"/>
      <c r="M49" s="40"/>
      <c r="N49" s="40"/>
      <c r="O49" s="87">
        <v>138</v>
      </c>
    </row>
    <row r="50" spans="1:15">
      <c r="A50" s="40" t="s">
        <v>2</v>
      </c>
      <c r="B50" s="13" t="s">
        <v>1346</v>
      </c>
      <c r="C50" s="29">
        <v>4</v>
      </c>
      <c r="D50" s="29">
        <v>1</v>
      </c>
      <c r="E50" s="29">
        <v>4</v>
      </c>
      <c r="F50" s="29"/>
      <c r="G50" s="40"/>
      <c r="H50" s="40"/>
      <c r="I50" s="40"/>
      <c r="J50" s="40"/>
      <c r="K50" s="40"/>
      <c r="L50" s="40"/>
      <c r="M50" s="40"/>
      <c r="N50" s="40"/>
      <c r="O50" s="87">
        <v>9</v>
      </c>
    </row>
    <row r="51" spans="1:15">
      <c r="A51" s="40" t="s">
        <v>2</v>
      </c>
      <c r="B51" s="13" t="s">
        <v>1356</v>
      </c>
      <c r="C51" s="29"/>
      <c r="D51" s="29">
        <v>1</v>
      </c>
      <c r="E51" s="29"/>
      <c r="F51" s="29"/>
      <c r="G51" s="40"/>
      <c r="H51" s="40"/>
      <c r="I51" s="40"/>
      <c r="J51" s="40"/>
      <c r="K51" s="40"/>
      <c r="L51" s="40"/>
      <c r="M51" s="40"/>
      <c r="N51" s="40"/>
      <c r="O51" s="87">
        <v>1</v>
      </c>
    </row>
    <row r="52" spans="1:15">
      <c r="A52" s="40" t="s">
        <v>2</v>
      </c>
      <c r="B52" s="13" t="s">
        <v>1352</v>
      </c>
      <c r="C52" s="29">
        <v>19</v>
      </c>
      <c r="D52" s="29">
        <v>11</v>
      </c>
      <c r="E52" s="29">
        <v>21</v>
      </c>
      <c r="F52" s="29">
        <v>5</v>
      </c>
      <c r="G52" s="40"/>
      <c r="H52" s="40"/>
      <c r="I52" s="40"/>
      <c r="J52" s="40"/>
      <c r="K52" s="40"/>
      <c r="L52" s="40"/>
      <c r="M52" s="40"/>
      <c r="N52" s="40"/>
      <c r="O52" s="87">
        <v>56</v>
      </c>
    </row>
    <row r="53" spans="1:15">
      <c r="A53" s="40" t="s">
        <v>2</v>
      </c>
      <c r="B53" s="13" t="s">
        <v>1365</v>
      </c>
      <c r="C53" s="29"/>
      <c r="D53" s="29"/>
      <c r="E53" s="29">
        <v>9</v>
      </c>
      <c r="F53" s="29">
        <v>9</v>
      </c>
      <c r="G53" s="40"/>
      <c r="H53" s="40"/>
      <c r="I53" s="40"/>
      <c r="J53" s="40"/>
      <c r="K53" s="40"/>
      <c r="L53" s="40"/>
      <c r="M53" s="40"/>
      <c r="N53" s="40"/>
      <c r="O53" s="87">
        <v>18</v>
      </c>
    </row>
    <row r="54" spans="1:15">
      <c r="A54" s="40" t="s">
        <v>2</v>
      </c>
      <c r="B54" s="13" t="s">
        <v>1346</v>
      </c>
      <c r="C54" s="29">
        <v>1</v>
      </c>
      <c r="D54" s="29">
        <v>2</v>
      </c>
      <c r="E54" s="29">
        <v>3</v>
      </c>
      <c r="F54" s="29">
        <v>6</v>
      </c>
      <c r="G54" s="40"/>
      <c r="H54" s="40"/>
      <c r="I54" s="40"/>
      <c r="J54" s="40"/>
      <c r="K54" s="40"/>
      <c r="L54" s="40"/>
      <c r="M54" s="40"/>
      <c r="N54" s="40"/>
      <c r="O54" s="87">
        <v>12</v>
      </c>
    </row>
    <row r="55" spans="1:15">
      <c r="A55" s="40" t="s">
        <v>2</v>
      </c>
      <c r="B55" s="13" t="s">
        <v>1366</v>
      </c>
      <c r="C55" s="29">
        <v>14</v>
      </c>
      <c r="D55" s="29">
        <v>12</v>
      </c>
      <c r="E55" s="29">
        <v>5</v>
      </c>
      <c r="F55" s="29">
        <v>3</v>
      </c>
      <c r="G55" s="40"/>
      <c r="H55" s="40"/>
      <c r="I55" s="40"/>
      <c r="J55" s="40"/>
      <c r="K55" s="40"/>
      <c r="L55" s="40"/>
      <c r="M55" s="40"/>
      <c r="N55" s="40"/>
      <c r="O55" s="87">
        <v>34</v>
      </c>
    </row>
    <row r="56" spans="1:15">
      <c r="A56" s="40" t="s">
        <v>2</v>
      </c>
      <c r="B56" s="13" t="s">
        <v>1349</v>
      </c>
      <c r="C56" s="29">
        <v>61</v>
      </c>
      <c r="D56" s="29">
        <v>68</v>
      </c>
      <c r="E56" s="29">
        <v>80</v>
      </c>
      <c r="F56" s="29">
        <v>74</v>
      </c>
      <c r="G56" s="40"/>
      <c r="H56" s="40"/>
      <c r="I56" s="40"/>
      <c r="J56" s="40"/>
      <c r="K56" s="40"/>
      <c r="L56" s="40"/>
      <c r="M56" s="40"/>
      <c r="N56" s="40"/>
      <c r="O56" s="87">
        <v>283</v>
      </c>
    </row>
    <row r="57" spans="1:15">
      <c r="A57" s="40" t="s">
        <v>2</v>
      </c>
      <c r="B57" s="13" t="s">
        <v>1367</v>
      </c>
      <c r="C57" s="29">
        <v>49</v>
      </c>
      <c r="D57" s="29">
        <v>32</v>
      </c>
      <c r="E57" s="29">
        <v>60</v>
      </c>
      <c r="F57" s="29">
        <v>30</v>
      </c>
      <c r="G57" s="40"/>
      <c r="H57" s="40"/>
      <c r="I57" s="40"/>
      <c r="J57" s="40"/>
      <c r="K57" s="40"/>
      <c r="L57" s="40"/>
      <c r="M57" s="40"/>
      <c r="N57" s="40"/>
      <c r="O57" s="87">
        <v>171</v>
      </c>
    </row>
    <row r="58" spans="1:15">
      <c r="A58" s="40" t="s">
        <v>2</v>
      </c>
      <c r="B58" s="13" t="s">
        <v>1266</v>
      </c>
      <c r="C58" s="29">
        <v>2</v>
      </c>
      <c r="D58" s="29"/>
      <c r="E58" s="29">
        <v>2</v>
      </c>
      <c r="F58" s="29"/>
      <c r="G58" s="40"/>
      <c r="H58" s="40"/>
      <c r="I58" s="40"/>
      <c r="J58" s="40"/>
      <c r="K58" s="40"/>
      <c r="L58" s="40"/>
      <c r="M58" s="40"/>
      <c r="N58" s="40"/>
      <c r="O58" s="87">
        <v>4</v>
      </c>
    </row>
    <row r="59" spans="1:15">
      <c r="A59" s="40" t="s">
        <v>2</v>
      </c>
      <c r="B59" s="13" t="s">
        <v>1350</v>
      </c>
      <c r="C59" s="29"/>
      <c r="D59" s="29"/>
      <c r="E59" s="29">
        <v>1</v>
      </c>
      <c r="F59" s="29"/>
      <c r="G59" s="40"/>
      <c r="H59" s="40"/>
      <c r="I59" s="40"/>
      <c r="J59" s="40"/>
      <c r="K59" s="40"/>
      <c r="L59" s="40"/>
      <c r="M59" s="40"/>
      <c r="N59" s="40"/>
      <c r="O59" s="87">
        <v>1</v>
      </c>
    </row>
    <row r="60" spans="1:15">
      <c r="A60" s="40" t="s">
        <v>2</v>
      </c>
      <c r="B60" s="13" t="s">
        <v>1368</v>
      </c>
      <c r="C60" s="29">
        <v>47</v>
      </c>
      <c r="D60" s="29">
        <v>59</v>
      </c>
      <c r="E60" s="29">
        <v>49</v>
      </c>
      <c r="F60" s="29">
        <v>68</v>
      </c>
      <c r="G60" s="40"/>
      <c r="H60" s="40"/>
      <c r="I60" s="40"/>
      <c r="J60" s="40"/>
      <c r="K60" s="40"/>
      <c r="L60" s="40"/>
      <c r="M60" s="40"/>
      <c r="N60" s="40"/>
      <c r="O60" s="87">
        <v>223</v>
      </c>
    </row>
    <row r="61" spans="1:15">
      <c r="A61" s="40" t="s">
        <v>2</v>
      </c>
      <c r="B61" s="13" t="s">
        <v>1369</v>
      </c>
      <c r="C61" s="29">
        <v>8</v>
      </c>
      <c r="D61" s="29">
        <v>10</v>
      </c>
      <c r="E61" s="29">
        <v>9</v>
      </c>
      <c r="F61" s="29">
        <v>9</v>
      </c>
      <c r="G61" s="40"/>
      <c r="H61" s="40"/>
      <c r="I61" s="40"/>
      <c r="J61" s="40"/>
      <c r="K61" s="40"/>
      <c r="L61" s="40"/>
      <c r="M61" s="40"/>
      <c r="N61" s="40"/>
      <c r="O61" s="87">
        <v>36</v>
      </c>
    </row>
    <row r="62" spans="1:15">
      <c r="A62" s="40" t="s">
        <v>2</v>
      </c>
      <c r="B62" s="13" t="s">
        <v>1352</v>
      </c>
      <c r="C62" s="29"/>
      <c r="D62" s="29">
        <v>1</v>
      </c>
      <c r="E62" s="29"/>
      <c r="F62" s="29"/>
      <c r="G62" s="40"/>
      <c r="H62" s="40"/>
      <c r="I62" s="40"/>
      <c r="J62" s="40"/>
      <c r="K62" s="40"/>
      <c r="L62" s="40"/>
      <c r="M62" s="40"/>
      <c r="N62" s="40"/>
      <c r="O62" s="87">
        <v>1</v>
      </c>
    </row>
    <row r="63" spans="1:15">
      <c r="A63" s="40" t="s">
        <v>2</v>
      </c>
      <c r="B63" s="13" t="s">
        <v>1370</v>
      </c>
      <c r="C63" s="29">
        <v>15</v>
      </c>
      <c r="D63" s="29">
        <v>10</v>
      </c>
      <c r="E63" s="29">
        <v>7</v>
      </c>
      <c r="F63" s="29">
        <v>10</v>
      </c>
      <c r="G63" s="40"/>
      <c r="H63" s="40"/>
      <c r="I63" s="40"/>
      <c r="J63" s="40"/>
      <c r="K63" s="40"/>
      <c r="L63" s="40"/>
      <c r="M63" s="40"/>
      <c r="N63" s="40"/>
      <c r="O63" s="87">
        <v>42</v>
      </c>
    </row>
    <row r="64" spans="1:15">
      <c r="A64" s="40" t="s">
        <v>2</v>
      </c>
      <c r="B64" s="13" t="s">
        <v>1346</v>
      </c>
      <c r="C64" s="29">
        <v>6</v>
      </c>
      <c r="D64" s="29">
        <v>19</v>
      </c>
      <c r="E64" s="29">
        <v>6</v>
      </c>
      <c r="F64" s="29">
        <v>11</v>
      </c>
      <c r="G64" s="40"/>
      <c r="H64" s="40"/>
      <c r="I64" s="40"/>
      <c r="J64" s="40"/>
      <c r="K64" s="40"/>
      <c r="L64" s="40"/>
      <c r="M64" s="40"/>
      <c r="N64" s="40"/>
      <c r="O64" s="87">
        <v>42</v>
      </c>
    </row>
    <row r="65" spans="1:15">
      <c r="A65" s="40" t="s">
        <v>2</v>
      </c>
      <c r="B65" s="13" t="s">
        <v>1349</v>
      </c>
      <c r="C65" s="29">
        <v>74</v>
      </c>
      <c r="D65" s="29">
        <v>77</v>
      </c>
      <c r="E65" s="29">
        <v>65</v>
      </c>
      <c r="F65" s="29">
        <v>102</v>
      </c>
      <c r="G65" s="40"/>
      <c r="H65" s="40"/>
      <c r="I65" s="40"/>
      <c r="J65" s="40"/>
      <c r="K65" s="40"/>
      <c r="L65" s="40"/>
      <c r="M65" s="40"/>
      <c r="N65" s="40"/>
      <c r="O65" s="87">
        <v>318</v>
      </c>
    </row>
    <row r="66" spans="1:15">
      <c r="A66" s="40" t="s">
        <v>2</v>
      </c>
      <c r="B66" s="13" t="s">
        <v>1358</v>
      </c>
      <c r="C66" s="29"/>
      <c r="D66" s="29">
        <v>3</v>
      </c>
      <c r="E66" s="29"/>
      <c r="F66" s="29">
        <v>2</v>
      </c>
      <c r="G66" s="40"/>
      <c r="H66" s="40"/>
      <c r="I66" s="40"/>
      <c r="J66" s="40"/>
      <c r="K66" s="40"/>
      <c r="L66" s="40"/>
      <c r="M66" s="40"/>
      <c r="N66" s="40"/>
      <c r="O66" s="87">
        <v>5</v>
      </c>
    </row>
    <row r="67" spans="1:15">
      <c r="A67" s="40" t="s">
        <v>2</v>
      </c>
      <c r="B67" s="13" t="s">
        <v>1367</v>
      </c>
      <c r="C67" s="29">
        <v>123</v>
      </c>
      <c r="D67" s="29">
        <v>114</v>
      </c>
      <c r="E67" s="29">
        <v>103</v>
      </c>
      <c r="F67" s="29">
        <v>95</v>
      </c>
      <c r="G67" s="40"/>
      <c r="H67" s="40"/>
      <c r="I67" s="40"/>
      <c r="J67" s="40"/>
      <c r="K67" s="40"/>
      <c r="L67" s="40"/>
      <c r="M67" s="40"/>
      <c r="N67" s="40"/>
      <c r="O67" s="87">
        <v>435</v>
      </c>
    </row>
    <row r="68" spans="1:15">
      <c r="A68" s="40" t="s">
        <v>2</v>
      </c>
      <c r="B68" s="13" t="s">
        <v>1371</v>
      </c>
      <c r="C68" s="29"/>
      <c r="D68" s="29"/>
      <c r="E68" s="29">
        <v>1</v>
      </c>
      <c r="F68" s="29">
        <v>1</v>
      </c>
      <c r="G68" s="40"/>
      <c r="H68" s="40"/>
      <c r="I68" s="40"/>
      <c r="J68" s="40"/>
      <c r="K68" s="40"/>
      <c r="L68" s="40"/>
      <c r="M68" s="40"/>
      <c r="N68" s="40"/>
      <c r="O68" s="87">
        <v>2</v>
      </c>
    </row>
    <row r="69" spans="1:15">
      <c r="A69" s="40" t="s">
        <v>2</v>
      </c>
      <c r="B69" s="13" t="s">
        <v>1266</v>
      </c>
      <c r="C69" s="29">
        <v>3</v>
      </c>
      <c r="D69" s="29"/>
      <c r="E69" s="29">
        <v>1</v>
      </c>
      <c r="F69" s="29"/>
      <c r="G69" s="40"/>
      <c r="H69" s="40"/>
      <c r="I69" s="40"/>
      <c r="J69" s="40"/>
      <c r="K69" s="40"/>
      <c r="L69" s="40"/>
      <c r="M69" s="40"/>
      <c r="N69" s="40"/>
      <c r="O69" s="87">
        <v>4</v>
      </c>
    </row>
    <row r="70" spans="1:15">
      <c r="A70" s="40" t="s">
        <v>2</v>
      </c>
      <c r="B70" s="13" t="s">
        <v>1369</v>
      </c>
      <c r="C70" s="29">
        <v>34</v>
      </c>
      <c r="D70" s="29">
        <v>25</v>
      </c>
      <c r="E70" s="29">
        <v>27</v>
      </c>
      <c r="F70" s="29">
        <v>26</v>
      </c>
      <c r="G70" s="40"/>
      <c r="H70" s="40"/>
      <c r="I70" s="40"/>
      <c r="J70" s="40"/>
      <c r="K70" s="40"/>
      <c r="L70" s="40"/>
      <c r="M70" s="40"/>
      <c r="N70" s="40"/>
      <c r="O70" s="87">
        <v>112</v>
      </c>
    </row>
    <row r="71" spans="1:15">
      <c r="A71" s="40" t="s">
        <v>2</v>
      </c>
      <c r="B71" s="13" t="s">
        <v>1352</v>
      </c>
      <c r="C71" s="29">
        <v>50</v>
      </c>
      <c r="D71" s="29">
        <v>53</v>
      </c>
      <c r="E71" s="29">
        <v>57</v>
      </c>
      <c r="F71" s="29">
        <v>56</v>
      </c>
      <c r="G71" s="40"/>
      <c r="H71" s="40"/>
      <c r="I71" s="40"/>
      <c r="J71" s="40"/>
      <c r="K71" s="40"/>
      <c r="L71" s="40"/>
      <c r="M71" s="40"/>
      <c r="N71" s="40"/>
      <c r="O71" s="87">
        <v>216</v>
      </c>
    </row>
    <row r="72" spans="1:15">
      <c r="A72" s="40" t="s">
        <v>2</v>
      </c>
      <c r="B72" s="13" t="s">
        <v>1370</v>
      </c>
      <c r="C72" s="29">
        <v>3</v>
      </c>
      <c r="D72" s="29">
        <v>5</v>
      </c>
      <c r="E72" s="29">
        <v>2</v>
      </c>
      <c r="F72" s="29">
        <v>3</v>
      </c>
      <c r="G72" s="40"/>
      <c r="H72" s="40"/>
      <c r="I72" s="40"/>
      <c r="J72" s="40"/>
      <c r="K72" s="40"/>
      <c r="L72" s="40"/>
      <c r="M72" s="40"/>
      <c r="N72" s="40"/>
      <c r="O72" s="87">
        <v>13</v>
      </c>
    </row>
    <row r="73" spans="1:15">
      <c r="A73" s="40" t="s">
        <v>2</v>
      </c>
      <c r="B73" s="13" t="s">
        <v>1372</v>
      </c>
      <c r="C73" s="29"/>
      <c r="D73" s="29"/>
      <c r="E73" s="29">
        <v>1</v>
      </c>
      <c r="F73" s="29"/>
      <c r="G73" s="40"/>
      <c r="H73" s="40"/>
      <c r="I73" s="40"/>
      <c r="J73" s="40"/>
      <c r="K73" s="40"/>
      <c r="L73" s="40"/>
      <c r="M73" s="40"/>
      <c r="N73" s="40"/>
      <c r="O73" s="87">
        <v>1</v>
      </c>
    </row>
    <row r="74" spans="1:15">
      <c r="A74" s="40" t="s">
        <v>2</v>
      </c>
      <c r="B74" s="13" t="s">
        <v>1349</v>
      </c>
      <c r="C74" s="29">
        <v>52</v>
      </c>
      <c r="D74" s="29">
        <v>51</v>
      </c>
      <c r="E74" s="29">
        <v>53</v>
      </c>
      <c r="F74" s="29">
        <v>55</v>
      </c>
      <c r="G74" s="40"/>
      <c r="H74" s="40"/>
      <c r="I74" s="40"/>
      <c r="J74" s="40"/>
      <c r="K74" s="40"/>
      <c r="L74" s="40"/>
      <c r="M74" s="40"/>
      <c r="N74" s="40"/>
      <c r="O74" s="87">
        <v>211</v>
      </c>
    </row>
    <row r="75" spans="1:15">
      <c r="A75" s="40" t="s">
        <v>2</v>
      </c>
      <c r="B75" s="13" t="s">
        <v>1358</v>
      </c>
      <c r="C75" s="29">
        <v>4</v>
      </c>
      <c r="D75" s="29">
        <v>1</v>
      </c>
      <c r="E75" s="29">
        <v>4</v>
      </c>
      <c r="F75" s="29">
        <v>1</v>
      </c>
      <c r="G75" s="40"/>
      <c r="H75" s="40"/>
      <c r="I75" s="40"/>
      <c r="J75" s="40"/>
      <c r="K75" s="40"/>
      <c r="L75" s="40"/>
      <c r="M75" s="40"/>
      <c r="N75" s="40"/>
      <c r="O75" s="87">
        <v>10</v>
      </c>
    </row>
    <row r="76" spans="1:15">
      <c r="A76" s="40" t="s">
        <v>2</v>
      </c>
      <c r="B76" s="13" t="s">
        <v>1373</v>
      </c>
      <c r="C76" s="29">
        <v>38</v>
      </c>
      <c r="D76" s="29">
        <v>44</v>
      </c>
      <c r="E76" s="29">
        <v>29</v>
      </c>
      <c r="F76" s="29">
        <v>40</v>
      </c>
      <c r="G76" s="40"/>
      <c r="H76" s="40"/>
      <c r="I76" s="40"/>
      <c r="J76" s="40"/>
      <c r="K76" s="40"/>
      <c r="L76" s="40"/>
      <c r="M76" s="40"/>
      <c r="N76" s="40"/>
      <c r="O76" s="87">
        <v>151</v>
      </c>
    </row>
    <row r="77" spans="1:15">
      <c r="A77" s="40" t="s">
        <v>2</v>
      </c>
      <c r="B77" s="13" t="s">
        <v>1374</v>
      </c>
      <c r="C77" s="29">
        <v>1</v>
      </c>
      <c r="D77" s="29">
        <v>2</v>
      </c>
      <c r="E77" s="29">
        <v>1</v>
      </c>
      <c r="F77" s="29">
        <v>1</v>
      </c>
      <c r="G77" s="40"/>
      <c r="H77" s="40"/>
      <c r="I77" s="40"/>
      <c r="J77" s="40"/>
      <c r="K77" s="40"/>
      <c r="L77" s="40"/>
      <c r="M77" s="40"/>
      <c r="N77" s="40"/>
      <c r="O77" s="87">
        <v>5</v>
      </c>
    </row>
    <row r="78" spans="1:15">
      <c r="A78" s="40" t="s">
        <v>2</v>
      </c>
      <c r="B78" s="13" t="s">
        <v>1266</v>
      </c>
      <c r="C78" s="29">
        <v>24</v>
      </c>
      <c r="D78" s="29">
        <v>22</v>
      </c>
      <c r="E78" s="29">
        <v>28</v>
      </c>
      <c r="F78" s="29">
        <v>25</v>
      </c>
      <c r="G78" s="40"/>
      <c r="H78" s="40"/>
      <c r="I78" s="40"/>
      <c r="J78" s="40"/>
      <c r="K78" s="40"/>
      <c r="L78" s="40"/>
      <c r="M78" s="40"/>
      <c r="N78" s="40"/>
      <c r="O78" s="87">
        <v>99</v>
      </c>
    </row>
    <row r="79" spans="1:15">
      <c r="A79" s="40" t="s">
        <v>2</v>
      </c>
      <c r="B79" s="13" t="s">
        <v>1350</v>
      </c>
      <c r="C79" s="29">
        <v>4</v>
      </c>
      <c r="D79" s="29">
        <v>6</v>
      </c>
      <c r="E79" s="29">
        <v>2</v>
      </c>
      <c r="F79" s="29">
        <v>5</v>
      </c>
      <c r="G79" s="40"/>
      <c r="H79" s="40"/>
      <c r="I79" s="40"/>
      <c r="J79" s="40"/>
      <c r="K79" s="40"/>
      <c r="L79" s="40"/>
      <c r="M79" s="40"/>
      <c r="N79" s="40"/>
      <c r="O79" s="87">
        <v>17</v>
      </c>
    </row>
    <row r="80" spans="1:15">
      <c r="A80" s="40" t="s">
        <v>2</v>
      </c>
      <c r="B80" s="13" t="s">
        <v>1375</v>
      </c>
      <c r="C80" s="29">
        <v>43</v>
      </c>
      <c r="D80" s="29">
        <v>35</v>
      </c>
      <c r="E80" s="29">
        <v>53</v>
      </c>
      <c r="F80" s="29">
        <v>52</v>
      </c>
      <c r="G80" s="40"/>
      <c r="H80" s="40"/>
      <c r="I80" s="40"/>
      <c r="J80" s="40"/>
      <c r="K80" s="40"/>
      <c r="L80" s="40"/>
      <c r="M80" s="40"/>
      <c r="N80" s="40"/>
      <c r="O80" s="87">
        <v>183</v>
      </c>
    </row>
    <row r="81" spans="1:15">
      <c r="A81" s="40" t="s">
        <v>2</v>
      </c>
      <c r="B81" s="13" t="s">
        <v>1352</v>
      </c>
      <c r="C81" s="29">
        <v>5</v>
      </c>
      <c r="D81" s="29">
        <v>11</v>
      </c>
      <c r="E81" s="29">
        <v>8</v>
      </c>
      <c r="F81" s="29">
        <v>9</v>
      </c>
      <c r="G81" s="40"/>
      <c r="H81" s="40"/>
      <c r="I81" s="40"/>
      <c r="J81" s="40"/>
      <c r="K81" s="40"/>
      <c r="L81" s="40"/>
      <c r="M81" s="40"/>
      <c r="N81" s="40"/>
      <c r="O81" s="87">
        <v>33</v>
      </c>
    </row>
    <row r="82" spans="1:15">
      <c r="A82" s="40" t="s">
        <v>2</v>
      </c>
      <c r="B82" s="13" t="s">
        <v>1346</v>
      </c>
      <c r="C82" s="29">
        <v>10</v>
      </c>
      <c r="D82" s="29">
        <v>7</v>
      </c>
      <c r="E82" s="29">
        <v>7</v>
      </c>
      <c r="F82" s="29">
        <v>12</v>
      </c>
      <c r="G82" s="40"/>
      <c r="H82" s="40"/>
      <c r="I82" s="40"/>
      <c r="J82" s="40"/>
      <c r="K82" s="40"/>
      <c r="L82" s="40"/>
      <c r="M82" s="40"/>
      <c r="N82" s="40"/>
      <c r="O82" s="87">
        <v>36</v>
      </c>
    </row>
    <row r="83" spans="1:15">
      <c r="A83" s="40" t="s">
        <v>2</v>
      </c>
      <c r="B83" s="13" t="s">
        <v>1376</v>
      </c>
      <c r="C83" s="29">
        <v>2</v>
      </c>
      <c r="D83" s="29">
        <v>3</v>
      </c>
      <c r="E83" s="29"/>
      <c r="F83" s="29">
        <v>2</v>
      </c>
      <c r="G83" s="40"/>
      <c r="H83" s="40"/>
      <c r="I83" s="40"/>
      <c r="J83" s="40"/>
      <c r="K83" s="40"/>
      <c r="L83" s="40"/>
      <c r="M83" s="40"/>
      <c r="N83" s="40"/>
      <c r="O83" s="87">
        <v>7</v>
      </c>
    </row>
    <row r="84" spans="1:15">
      <c r="A84" s="40" t="s">
        <v>2</v>
      </c>
      <c r="B84" s="13" t="s">
        <v>1349</v>
      </c>
      <c r="C84" s="29">
        <v>41</v>
      </c>
      <c r="D84" s="29">
        <v>43</v>
      </c>
      <c r="E84" s="29">
        <v>40</v>
      </c>
      <c r="F84" s="29">
        <v>47</v>
      </c>
      <c r="G84" s="40"/>
      <c r="H84" s="40"/>
      <c r="I84" s="40"/>
      <c r="J84" s="40"/>
      <c r="K84" s="40"/>
      <c r="L84" s="40"/>
      <c r="M84" s="40"/>
      <c r="N84" s="40"/>
      <c r="O84" s="87">
        <v>171</v>
      </c>
    </row>
    <row r="85" spans="1:15">
      <c r="A85" s="40" t="s">
        <v>2</v>
      </c>
      <c r="B85" s="13" t="s">
        <v>1358</v>
      </c>
      <c r="C85" s="29">
        <v>23</v>
      </c>
      <c r="D85" s="29">
        <v>20</v>
      </c>
      <c r="E85" s="29">
        <v>20</v>
      </c>
      <c r="F85" s="29">
        <v>27</v>
      </c>
      <c r="G85" s="40"/>
      <c r="H85" s="40"/>
      <c r="I85" s="40"/>
      <c r="J85" s="40"/>
      <c r="K85" s="40"/>
      <c r="L85" s="40"/>
      <c r="M85" s="40"/>
      <c r="N85" s="40"/>
      <c r="O85" s="87">
        <v>90</v>
      </c>
    </row>
    <row r="86" spans="1:15">
      <c r="A86" s="40" t="s">
        <v>2</v>
      </c>
      <c r="B86" s="13" t="s">
        <v>1373</v>
      </c>
      <c r="C86" s="29">
        <v>19</v>
      </c>
      <c r="D86" s="29">
        <v>17</v>
      </c>
      <c r="E86" s="29">
        <v>26</v>
      </c>
      <c r="F86" s="29">
        <v>18</v>
      </c>
      <c r="G86" s="40"/>
      <c r="H86" s="40"/>
      <c r="I86" s="40"/>
      <c r="J86" s="40"/>
      <c r="K86" s="40"/>
      <c r="L86" s="40"/>
      <c r="M86" s="40"/>
      <c r="N86" s="40"/>
      <c r="O86" s="87">
        <v>80</v>
      </c>
    </row>
    <row r="87" spans="1:15">
      <c r="A87" s="40" t="s">
        <v>2</v>
      </c>
      <c r="B87" s="13" t="s">
        <v>1266</v>
      </c>
      <c r="C87" s="29">
        <v>5</v>
      </c>
      <c r="D87" s="29">
        <v>5</v>
      </c>
      <c r="E87" s="29">
        <v>6</v>
      </c>
      <c r="F87" s="29">
        <v>7</v>
      </c>
      <c r="G87" s="40"/>
      <c r="H87" s="40"/>
      <c r="I87" s="40"/>
      <c r="J87" s="40"/>
      <c r="K87" s="40"/>
      <c r="L87" s="40"/>
      <c r="M87" s="40"/>
      <c r="N87" s="40"/>
      <c r="O87" s="87">
        <v>23</v>
      </c>
    </row>
    <row r="88" spans="1:15">
      <c r="A88" s="40" t="s">
        <v>2</v>
      </c>
      <c r="B88" s="13" t="s">
        <v>1350</v>
      </c>
      <c r="C88" s="29"/>
      <c r="D88" s="29">
        <v>1</v>
      </c>
      <c r="E88" s="29"/>
      <c r="F88" s="29"/>
      <c r="G88" s="40"/>
      <c r="H88" s="40"/>
      <c r="I88" s="40"/>
      <c r="J88" s="40"/>
      <c r="K88" s="40"/>
      <c r="L88" s="40"/>
      <c r="M88" s="40"/>
      <c r="N88" s="40"/>
      <c r="O88" s="87">
        <v>1</v>
      </c>
    </row>
    <row r="89" spans="1:15">
      <c r="A89" s="40" t="s">
        <v>2</v>
      </c>
      <c r="B89" s="13" t="s">
        <v>1375</v>
      </c>
      <c r="C89" s="29">
        <v>31</v>
      </c>
      <c r="D89" s="29">
        <v>28</v>
      </c>
      <c r="E89" s="29">
        <v>32</v>
      </c>
      <c r="F89" s="29">
        <v>25</v>
      </c>
      <c r="G89" s="40"/>
      <c r="H89" s="40"/>
      <c r="I89" s="40"/>
      <c r="J89" s="40"/>
      <c r="K89" s="40"/>
      <c r="L89" s="40"/>
      <c r="M89" s="40"/>
      <c r="N89" s="40"/>
      <c r="O89" s="87">
        <v>116</v>
      </c>
    </row>
    <row r="90" spans="1:15">
      <c r="A90" s="40" t="s">
        <v>2</v>
      </c>
      <c r="B90" s="13" t="s">
        <v>1352</v>
      </c>
      <c r="C90" s="29"/>
      <c r="D90" s="29"/>
      <c r="E90" s="29">
        <v>1</v>
      </c>
      <c r="F90" s="29"/>
      <c r="G90" s="40"/>
      <c r="H90" s="40"/>
      <c r="I90" s="40"/>
      <c r="J90" s="40"/>
      <c r="K90" s="40"/>
      <c r="L90" s="40"/>
      <c r="M90" s="40"/>
      <c r="N90" s="40"/>
      <c r="O90" s="87">
        <v>1</v>
      </c>
    </row>
    <row r="91" spans="1:15">
      <c r="A91" s="40" t="s">
        <v>2</v>
      </c>
      <c r="B91" s="13" t="s">
        <v>1377</v>
      </c>
      <c r="C91" s="29">
        <v>2</v>
      </c>
      <c r="D91" s="29">
        <v>1</v>
      </c>
      <c r="E91" s="29">
        <v>1</v>
      </c>
      <c r="F91" s="29"/>
      <c r="G91" s="40"/>
      <c r="H91" s="40"/>
      <c r="I91" s="40"/>
      <c r="J91" s="40"/>
      <c r="K91" s="40"/>
      <c r="L91" s="40"/>
      <c r="M91" s="40"/>
      <c r="N91" s="40"/>
      <c r="O91" s="87">
        <v>4</v>
      </c>
    </row>
    <row r="92" spans="1:15">
      <c r="A92" s="40" t="s">
        <v>1</v>
      </c>
      <c r="B92" s="78" t="s">
        <v>1255</v>
      </c>
      <c r="C92" s="29">
        <v>24</v>
      </c>
      <c r="D92" s="29">
        <v>19</v>
      </c>
      <c r="E92" s="29">
        <v>18</v>
      </c>
      <c r="F92" s="29">
        <v>17</v>
      </c>
      <c r="G92" s="40"/>
      <c r="H92" s="40"/>
      <c r="I92" s="40"/>
      <c r="J92" s="40"/>
      <c r="K92" s="40"/>
      <c r="L92" s="40"/>
      <c r="M92" s="40"/>
      <c r="N92" s="40"/>
      <c r="O92" s="87">
        <v>78</v>
      </c>
    </row>
    <row r="93" spans="1:15">
      <c r="A93" s="40" t="s">
        <v>1</v>
      </c>
      <c r="B93" s="78" t="s">
        <v>1256</v>
      </c>
      <c r="C93" s="29"/>
      <c r="D93" s="29"/>
      <c r="E93" s="29">
        <v>1</v>
      </c>
      <c r="F93" s="29">
        <v>1</v>
      </c>
      <c r="G93" s="40"/>
      <c r="H93" s="40"/>
      <c r="I93" s="40"/>
      <c r="J93" s="40"/>
      <c r="K93" s="40"/>
      <c r="L93" s="40"/>
      <c r="M93" s="40"/>
      <c r="N93" s="40"/>
      <c r="O93" s="87">
        <v>2</v>
      </c>
    </row>
    <row r="94" spans="1:15">
      <c r="A94" s="40" t="s">
        <v>1</v>
      </c>
      <c r="B94" s="78" t="s">
        <v>1264</v>
      </c>
      <c r="C94" s="29">
        <v>54</v>
      </c>
      <c r="D94" s="29">
        <v>66</v>
      </c>
      <c r="E94" s="29">
        <v>67</v>
      </c>
      <c r="F94" s="29">
        <v>81</v>
      </c>
      <c r="G94" s="40"/>
      <c r="H94" s="40"/>
      <c r="I94" s="40"/>
      <c r="J94" s="40"/>
      <c r="K94" s="40"/>
      <c r="L94" s="40"/>
      <c r="M94" s="40"/>
      <c r="N94" s="40"/>
      <c r="O94" s="87">
        <v>268</v>
      </c>
    </row>
    <row r="95" spans="1:15">
      <c r="A95" s="40" t="s">
        <v>1</v>
      </c>
      <c r="B95" s="78" t="s">
        <v>1257</v>
      </c>
      <c r="C95" s="29">
        <v>228</v>
      </c>
      <c r="D95" s="29">
        <v>222</v>
      </c>
      <c r="E95" s="29">
        <v>350</v>
      </c>
      <c r="F95" s="29">
        <v>327</v>
      </c>
      <c r="G95" s="40"/>
      <c r="H95" s="40"/>
      <c r="I95" s="40"/>
      <c r="J95" s="40"/>
      <c r="K95" s="40"/>
      <c r="L95" s="40"/>
      <c r="M95" s="40"/>
      <c r="N95" s="40"/>
      <c r="O95" s="87">
        <v>1127</v>
      </c>
    </row>
    <row r="96" spans="1:15">
      <c r="A96" s="40" t="s">
        <v>1</v>
      </c>
      <c r="B96" s="78" t="s">
        <v>1258</v>
      </c>
      <c r="C96" s="29">
        <v>1</v>
      </c>
      <c r="D96" s="29"/>
      <c r="E96" s="29">
        <v>1</v>
      </c>
      <c r="F96" s="29">
        <v>2</v>
      </c>
      <c r="G96" s="40"/>
      <c r="H96" s="40"/>
      <c r="I96" s="40"/>
      <c r="J96" s="40"/>
      <c r="K96" s="40"/>
      <c r="L96" s="40"/>
      <c r="M96" s="40"/>
      <c r="N96" s="40"/>
      <c r="O96" s="87">
        <v>4</v>
      </c>
    </row>
    <row r="97" spans="1:15">
      <c r="A97" s="40" t="s">
        <v>1</v>
      </c>
      <c r="B97" s="78" t="s">
        <v>1265</v>
      </c>
      <c r="C97" s="29">
        <v>21</v>
      </c>
      <c r="D97" s="29">
        <v>24</v>
      </c>
      <c r="E97" s="29">
        <v>28</v>
      </c>
      <c r="F97" s="29">
        <v>24</v>
      </c>
      <c r="G97" s="40"/>
      <c r="H97" s="40"/>
      <c r="I97" s="40"/>
      <c r="J97" s="40"/>
      <c r="K97" s="40"/>
      <c r="L97" s="40"/>
      <c r="M97" s="40"/>
      <c r="N97" s="40"/>
      <c r="O97" s="87">
        <v>97</v>
      </c>
    </row>
    <row r="98" spans="1:15">
      <c r="A98" s="40" t="s">
        <v>1</v>
      </c>
      <c r="B98" s="78" t="s">
        <v>1266</v>
      </c>
      <c r="C98" s="29">
        <v>1</v>
      </c>
      <c r="D98" s="29">
        <v>1</v>
      </c>
      <c r="E98" s="29">
        <v>1</v>
      </c>
      <c r="F98" s="29"/>
      <c r="G98" s="40"/>
      <c r="H98" s="40"/>
      <c r="I98" s="40"/>
      <c r="J98" s="40"/>
      <c r="K98" s="40"/>
      <c r="L98" s="40"/>
      <c r="M98" s="40"/>
      <c r="N98" s="40"/>
      <c r="O98" s="87">
        <v>3</v>
      </c>
    </row>
    <row r="99" spans="1:15">
      <c r="A99" s="40" t="s">
        <v>1</v>
      </c>
      <c r="B99" s="78" t="s">
        <v>1267</v>
      </c>
      <c r="C99" s="29"/>
      <c r="D99" s="29"/>
      <c r="E99" s="29">
        <v>2</v>
      </c>
      <c r="F99" s="29"/>
      <c r="G99" s="40"/>
      <c r="H99" s="40"/>
      <c r="I99" s="40"/>
      <c r="J99" s="40"/>
      <c r="K99" s="40"/>
      <c r="L99" s="40"/>
      <c r="M99" s="40"/>
      <c r="N99" s="40"/>
      <c r="O99" s="87">
        <v>2</v>
      </c>
    </row>
    <row r="100" spans="1:15">
      <c r="A100" s="40" t="s">
        <v>1</v>
      </c>
      <c r="B100" s="78" t="s">
        <v>1259</v>
      </c>
      <c r="C100" s="29">
        <v>35</v>
      </c>
      <c r="D100" s="29">
        <v>30</v>
      </c>
      <c r="E100" s="29">
        <v>29</v>
      </c>
      <c r="F100" s="29">
        <v>34</v>
      </c>
      <c r="G100" s="40"/>
      <c r="H100" s="40"/>
      <c r="I100" s="40"/>
      <c r="J100" s="40"/>
      <c r="K100" s="40"/>
      <c r="L100" s="40"/>
      <c r="M100" s="40"/>
      <c r="N100" s="40"/>
      <c r="O100" s="87">
        <v>128</v>
      </c>
    </row>
    <row r="101" spans="1:15">
      <c r="A101" s="40" t="s">
        <v>1</v>
      </c>
      <c r="B101" s="78" t="s">
        <v>1268</v>
      </c>
      <c r="C101" s="29"/>
      <c r="D101" s="29">
        <v>4</v>
      </c>
      <c r="E101" s="29">
        <v>1</v>
      </c>
      <c r="F101" s="29">
        <v>2</v>
      </c>
      <c r="G101" s="40"/>
      <c r="H101" s="40"/>
      <c r="I101" s="40"/>
      <c r="J101" s="40"/>
      <c r="K101" s="40"/>
      <c r="L101" s="40"/>
      <c r="M101" s="40"/>
      <c r="N101" s="40"/>
      <c r="O101" s="87">
        <v>7</v>
      </c>
    </row>
    <row r="102" spans="1:15">
      <c r="A102" s="40" t="s">
        <v>1</v>
      </c>
      <c r="B102" s="78" t="s">
        <v>1269</v>
      </c>
      <c r="C102" s="29"/>
      <c r="D102" s="29"/>
      <c r="E102" s="29"/>
      <c r="F102" s="29">
        <v>2</v>
      </c>
      <c r="G102" s="40"/>
      <c r="H102" s="40"/>
      <c r="I102" s="40"/>
      <c r="J102" s="40"/>
      <c r="K102" s="40"/>
      <c r="L102" s="40"/>
      <c r="M102" s="40"/>
      <c r="N102" s="40"/>
      <c r="O102" s="87">
        <v>2</v>
      </c>
    </row>
    <row r="103" spans="1:15">
      <c r="A103" s="40" t="s">
        <v>1</v>
      </c>
      <c r="B103" s="78" t="s">
        <v>1260</v>
      </c>
      <c r="C103" s="29">
        <v>113</v>
      </c>
      <c r="D103" s="29">
        <v>114</v>
      </c>
      <c r="E103" s="29">
        <v>125</v>
      </c>
      <c r="F103" s="29">
        <v>122</v>
      </c>
      <c r="G103" s="40"/>
      <c r="H103" s="40"/>
      <c r="I103" s="40"/>
      <c r="J103" s="40"/>
      <c r="K103" s="40"/>
      <c r="L103" s="40"/>
      <c r="M103" s="40"/>
      <c r="N103" s="40"/>
      <c r="O103" s="87">
        <v>474</v>
      </c>
    </row>
    <row r="104" spans="1:15">
      <c r="A104" s="40" t="s">
        <v>1</v>
      </c>
      <c r="B104" s="78" t="s">
        <v>1261</v>
      </c>
      <c r="C104" s="29">
        <v>12</v>
      </c>
      <c r="D104" s="29">
        <v>13</v>
      </c>
      <c r="E104" s="29">
        <v>2</v>
      </c>
      <c r="F104" s="29">
        <v>12</v>
      </c>
      <c r="G104" s="40"/>
      <c r="H104" s="40"/>
      <c r="I104" s="40"/>
      <c r="J104" s="40"/>
      <c r="K104" s="40"/>
      <c r="L104" s="40"/>
      <c r="M104" s="40"/>
      <c r="N104" s="40"/>
      <c r="O104" s="87">
        <v>39</v>
      </c>
    </row>
    <row r="105" spans="1:15">
      <c r="A105" s="40" t="s">
        <v>1</v>
      </c>
      <c r="B105" s="78" t="s">
        <v>1264</v>
      </c>
      <c r="C105" s="29">
        <v>166</v>
      </c>
      <c r="D105" s="29">
        <v>213</v>
      </c>
      <c r="E105" s="29">
        <v>173</v>
      </c>
      <c r="F105" s="29">
        <v>186</v>
      </c>
      <c r="G105" s="40"/>
      <c r="H105" s="40"/>
      <c r="I105" s="40"/>
      <c r="J105" s="40"/>
      <c r="K105" s="40"/>
      <c r="L105" s="40"/>
      <c r="M105" s="40"/>
      <c r="N105" s="40"/>
      <c r="O105" s="87">
        <v>738</v>
      </c>
    </row>
    <row r="106" spans="1:15">
      <c r="A106" s="40" t="s">
        <v>1</v>
      </c>
      <c r="B106" s="78" t="s">
        <v>1270</v>
      </c>
      <c r="C106" s="29"/>
      <c r="D106" s="29">
        <v>6</v>
      </c>
      <c r="E106" s="29">
        <v>3</v>
      </c>
      <c r="F106" s="29">
        <v>10</v>
      </c>
      <c r="G106" s="40"/>
      <c r="H106" s="40"/>
      <c r="I106" s="40"/>
      <c r="J106" s="40"/>
      <c r="K106" s="40"/>
      <c r="L106" s="40"/>
      <c r="M106" s="40"/>
      <c r="N106" s="40"/>
      <c r="O106" s="87">
        <v>19</v>
      </c>
    </row>
    <row r="107" spans="1:15">
      <c r="A107" s="40" t="s">
        <v>1</v>
      </c>
      <c r="B107" s="78" t="s">
        <v>1262</v>
      </c>
      <c r="C107" s="29">
        <v>165</v>
      </c>
      <c r="D107" s="29">
        <v>84</v>
      </c>
      <c r="E107" s="29">
        <v>112</v>
      </c>
      <c r="F107" s="29">
        <v>118</v>
      </c>
      <c r="G107" s="40"/>
      <c r="H107" s="40"/>
      <c r="I107" s="40"/>
      <c r="J107" s="40"/>
      <c r="K107" s="40"/>
      <c r="L107" s="40"/>
      <c r="M107" s="40"/>
      <c r="N107" s="40"/>
      <c r="O107" s="87">
        <v>479</v>
      </c>
    </row>
    <row r="108" spans="1:15">
      <c r="A108" s="40" t="s">
        <v>1</v>
      </c>
      <c r="B108" s="78" t="s">
        <v>1265</v>
      </c>
      <c r="C108" s="29">
        <v>196</v>
      </c>
      <c r="D108" s="29">
        <v>205</v>
      </c>
      <c r="E108" s="29">
        <v>196</v>
      </c>
      <c r="F108" s="29">
        <v>203</v>
      </c>
      <c r="G108" s="40"/>
      <c r="H108" s="40"/>
      <c r="I108" s="40"/>
      <c r="J108" s="40"/>
      <c r="K108" s="40"/>
      <c r="L108" s="40"/>
      <c r="M108" s="40"/>
      <c r="N108" s="40"/>
      <c r="O108" s="87">
        <v>800</v>
      </c>
    </row>
    <row r="109" spans="1:15">
      <c r="A109" s="40" t="s">
        <v>1</v>
      </c>
      <c r="B109" s="78" t="s">
        <v>1271</v>
      </c>
      <c r="C109" s="29">
        <v>16</v>
      </c>
      <c r="D109" s="29">
        <v>19</v>
      </c>
      <c r="E109" s="29">
        <v>36</v>
      </c>
      <c r="F109" s="29">
        <v>32</v>
      </c>
      <c r="G109" s="40"/>
      <c r="H109" s="40"/>
      <c r="I109" s="40"/>
      <c r="J109" s="40"/>
      <c r="K109" s="40"/>
      <c r="L109" s="40"/>
      <c r="M109" s="40"/>
      <c r="N109" s="40"/>
      <c r="O109" s="87">
        <v>103</v>
      </c>
    </row>
    <row r="110" spans="1:15">
      <c r="A110" s="40" t="s">
        <v>1</v>
      </c>
      <c r="B110" s="78" t="s">
        <v>1266</v>
      </c>
      <c r="C110" s="29">
        <v>3</v>
      </c>
      <c r="D110" s="29"/>
      <c r="E110" s="29">
        <v>1</v>
      </c>
      <c r="F110" s="29">
        <v>3</v>
      </c>
      <c r="G110" s="40"/>
      <c r="H110" s="40"/>
      <c r="I110" s="40"/>
      <c r="J110" s="40"/>
      <c r="K110" s="40"/>
      <c r="L110" s="40"/>
      <c r="M110" s="40"/>
      <c r="N110" s="40"/>
      <c r="O110" s="87">
        <v>7</v>
      </c>
    </row>
    <row r="111" spans="1:15">
      <c r="A111" s="40" t="s">
        <v>4</v>
      </c>
      <c r="B111" s="78" t="s">
        <v>1268</v>
      </c>
      <c r="C111" s="29"/>
      <c r="D111" s="29">
        <v>4</v>
      </c>
      <c r="E111" s="29">
        <v>1</v>
      </c>
      <c r="F111" s="29">
        <v>2</v>
      </c>
      <c r="G111" s="40"/>
      <c r="H111" s="40"/>
      <c r="I111" s="40"/>
      <c r="J111" s="40"/>
      <c r="K111" s="40"/>
      <c r="L111" s="40"/>
      <c r="M111" s="40"/>
      <c r="N111" s="40"/>
      <c r="O111" s="87">
        <v>7</v>
      </c>
    </row>
    <row r="112" spans="1:15">
      <c r="A112" s="40" t="s">
        <v>4</v>
      </c>
      <c r="B112" s="78" t="s">
        <v>1269</v>
      </c>
      <c r="C112" s="29"/>
      <c r="D112" s="29"/>
      <c r="E112" s="29"/>
      <c r="F112" s="29">
        <v>2</v>
      </c>
      <c r="G112" s="40"/>
      <c r="H112" s="40"/>
      <c r="I112" s="40"/>
      <c r="J112" s="40"/>
      <c r="K112" s="40"/>
      <c r="L112" s="40"/>
      <c r="M112" s="40"/>
      <c r="N112" s="40"/>
      <c r="O112" s="87">
        <v>2</v>
      </c>
    </row>
    <row r="113" spans="1:15">
      <c r="A113" s="40" t="s">
        <v>4</v>
      </c>
      <c r="B113" s="78" t="s">
        <v>1260</v>
      </c>
      <c r="C113" s="29">
        <v>113</v>
      </c>
      <c r="D113" s="29">
        <v>114</v>
      </c>
      <c r="E113" s="29">
        <v>125</v>
      </c>
      <c r="F113" s="29">
        <v>122</v>
      </c>
      <c r="G113" s="40"/>
      <c r="H113" s="40"/>
      <c r="I113" s="40"/>
      <c r="J113" s="40"/>
      <c r="K113" s="40"/>
      <c r="L113" s="40"/>
      <c r="M113" s="40"/>
      <c r="N113" s="40"/>
      <c r="O113" s="87">
        <v>474</v>
      </c>
    </row>
    <row r="114" spans="1:15">
      <c r="A114" s="40" t="s">
        <v>4</v>
      </c>
      <c r="B114" s="78" t="s">
        <v>1261</v>
      </c>
      <c r="C114" s="29">
        <v>12</v>
      </c>
      <c r="D114" s="29">
        <v>13</v>
      </c>
      <c r="E114" s="29">
        <v>2</v>
      </c>
      <c r="F114" s="29">
        <v>12</v>
      </c>
      <c r="G114" s="40"/>
      <c r="H114" s="40"/>
      <c r="I114" s="40"/>
      <c r="J114" s="40"/>
      <c r="K114" s="40"/>
      <c r="L114" s="40"/>
      <c r="M114" s="40"/>
      <c r="N114" s="40"/>
      <c r="O114" s="87">
        <v>39</v>
      </c>
    </row>
    <row r="115" spans="1:15">
      <c r="A115" s="40" t="s">
        <v>4</v>
      </c>
      <c r="B115" s="78" t="s">
        <v>1264</v>
      </c>
      <c r="C115" s="29">
        <v>166</v>
      </c>
      <c r="D115" s="29">
        <v>213</v>
      </c>
      <c r="E115" s="29">
        <v>173</v>
      </c>
      <c r="F115" s="29">
        <v>186</v>
      </c>
      <c r="G115" s="40"/>
      <c r="H115" s="40"/>
      <c r="I115" s="40"/>
      <c r="J115" s="40"/>
      <c r="K115" s="40"/>
      <c r="L115" s="40"/>
      <c r="M115" s="40"/>
      <c r="N115" s="40"/>
      <c r="O115" s="87">
        <v>738</v>
      </c>
    </row>
    <row r="116" spans="1:15">
      <c r="A116" s="40" t="s">
        <v>4</v>
      </c>
      <c r="B116" s="78" t="s">
        <v>1270</v>
      </c>
      <c r="C116" s="29"/>
      <c r="D116" s="29">
        <v>6</v>
      </c>
      <c r="E116" s="29">
        <v>3</v>
      </c>
      <c r="F116" s="29">
        <v>10</v>
      </c>
      <c r="G116" s="40"/>
      <c r="H116" s="40"/>
      <c r="I116" s="40"/>
      <c r="J116" s="40"/>
      <c r="K116" s="40"/>
      <c r="L116" s="40"/>
      <c r="M116" s="40"/>
      <c r="N116" s="40"/>
      <c r="O116" s="87">
        <v>19</v>
      </c>
    </row>
    <row r="117" spans="1:15">
      <c r="A117" s="40" t="s">
        <v>4</v>
      </c>
      <c r="B117" s="78" t="s">
        <v>1262</v>
      </c>
      <c r="C117" s="29">
        <v>165</v>
      </c>
      <c r="D117" s="29">
        <v>84</v>
      </c>
      <c r="E117" s="29">
        <v>112</v>
      </c>
      <c r="F117" s="29">
        <v>118</v>
      </c>
      <c r="G117" s="40"/>
      <c r="H117" s="40"/>
      <c r="I117" s="40"/>
      <c r="J117" s="40"/>
      <c r="K117" s="40"/>
      <c r="L117" s="40"/>
      <c r="M117" s="40"/>
      <c r="N117" s="40"/>
      <c r="O117" s="87">
        <v>479</v>
      </c>
    </row>
    <row r="118" spans="1:15">
      <c r="A118" s="40" t="s">
        <v>4</v>
      </c>
      <c r="B118" s="78" t="s">
        <v>1265</v>
      </c>
      <c r="C118" s="29">
        <v>196</v>
      </c>
      <c r="D118" s="29">
        <v>205</v>
      </c>
      <c r="E118" s="29">
        <v>196</v>
      </c>
      <c r="F118" s="29">
        <v>203</v>
      </c>
      <c r="G118" s="40"/>
      <c r="H118" s="40"/>
      <c r="I118" s="40"/>
      <c r="J118" s="40"/>
      <c r="K118" s="40"/>
      <c r="L118" s="40"/>
      <c r="M118" s="40"/>
      <c r="N118" s="40"/>
      <c r="O118" s="87">
        <v>800</v>
      </c>
    </row>
    <row r="119" spans="1:15">
      <c r="A119" s="40" t="s">
        <v>4</v>
      </c>
      <c r="B119" s="78" t="s">
        <v>1271</v>
      </c>
      <c r="C119" s="29">
        <v>16</v>
      </c>
      <c r="D119" s="29">
        <v>19</v>
      </c>
      <c r="E119" s="29">
        <v>36</v>
      </c>
      <c r="F119" s="29">
        <v>32</v>
      </c>
      <c r="G119" s="40"/>
      <c r="H119" s="40"/>
      <c r="I119" s="40"/>
      <c r="J119" s="40"/>
      <c r="K119" s="40"/>
      <c r="L119" s="40"/>
      <c r="M119" s="40"/>
      <c r="N119" s="40"/>
      <c r="O119" s="87">
        <v>103</v>
      </c>
    </row>
    <row r="120" spans="1:15">
      <c r="A120" s="40" t="s">
        <v>4</v>
      </c>
      <c r="B120" s="78" t="s">
        <v>1266</v>
      </c>
      <c r="C120" s="29">
        <v>3</v>
      </c>
      <c r="D120" s="29"/>
      <c r="E120" s="29">
        <v>1</v>
      </c>
      <c r="F120" s="29">
        <v>3</v>
      </c>
      <c r="G120" s="40"/>
      <c r="H120" s="40"/>
      <c r="I120" s="40"/>
      <c r="J120" s="40"/>
      <c r="K120" s="40"/>
      <c r="L120" s="40"/>
      <c r="M120" s="40"/>
      <c r="N120" s="40"/>
      <c r="O120" s="87">
        <v>7</v>
      </c>
    </row>
    <row r="121" spans="1:15">
      <c r="A121" s="40" t="s">
        <v>4</v>
      </c>
      <c r="B121" s="78" t="s">
        <v>1268</v>
      </c>
      <c r="C121" s="29">
        <v>50</v>
      </c>
      <c r="D121" s="29">
        <v>53</v>
      </c>
      <c r="E121" s="29">
        <v>57</v>
      </c>
      <c r="F121" s="29">
        <v>56</v>
      </c>
      <c r="G121" s="40"/>
      <c r="H121" s="40"/>
      <c r="I121" s="40"/>
      <c r="J121" s="40"/>
      <c r="K121" s="40"/>
      <c r="L121" s="40"/>
      <c r="M121" s="40"/>
      <c r="N121" s="40"/>
      <c r="O121" s="87">
        <v>216</v>
      </c>
    </row>
    <row r="122" spans="1:15">
      <c r="A122" s="40" t="s">
        <v>4</v>
      </c>
      <c r="B122" s="78" t="s">
        <v>1272</v>
      </c>
      <c r="C122" s="29">
        <v>3</v>
      </c>
      <c r="D122" s="29">
        <v>5</v>
      </c>
      <c r="E122" s="29">
        <v>2</v>
      </c>
      <c r="F122" s="29">
        <v>3</v>
      </c>
      <c r="G122" s="40"/>
      <c r="H122" s="40"/>
      <c r="I122" s="40"/>
      <c r="J122" s="40"/>
      <c r="K122" s="40"/>
      <c r="L122" s="40"/>
      <c r="M122" s="40"/>
      <c r="N122" s="40"/>
      <c r="O122" s="87">
        <v>13</v>
      </c>
    </row>
    <row r="123" spans="1:15">
      <c r="A123" s="40" t="s">
        <v>4</v>
      </c>
      <c r="B123" s="78" t="s">
        <v>1273</v>
      </c>
      <c r="C123" s="29"/>
      <c r="D123" s="29"/>
      <c r="E123" s="29">
        <v>1</v>
      </c>
      <c r="F123" s="29"/>
      <c r="G123" s="40"/>
      <c r="H123" s="40"/>
      <c r="I123" s="40"/>
      <c r="J123" s="40"/>
      <c r="K123" s="40"/>
      <c r="L123" s="40"/>
      <c r="M123" s="40"/>
      <c r="N123" s="40"/>
      <c r="O123" s="87">
        <v>1</v>
      </c>
    </row>
    <row r="124" spans="1:15">
      <c r="A124" s="40" t="s">
        <v>4</v>
      </c>
      <c r="B124" s="78" t="s">
        <v>1265</v>
      </c>
      <c r="C124" s="29">
        <v>52</v>
      </c>
      <c r="D124" s="29">
        <v>51</v>
      </c>
      <c r="E124" s="29">
        <v>53</v>
      </c>
      <c r="F124" s="29">
        <v>55</v>
      </c>
      <c r="G124" s="40"/>
      <c r="H124" s="40"/>
      <c r="I124" s="40"/>
      <c r="J124" s="40"/>
      <c r="K124" s="40"/>
      <c r="L124" s="40"/>
      <c r="M124" s="40"/>
      <c r="N124" s="40"/>
      <c r="O124" s="87">
        <v>211</v>
      </c>
    </row>
    <row r="125" spans="1:15">
      <c r="A125" s="40" t="s">
        <v>4</v>
      </c>
      <c r="B125" s="78" t="s">
        <v>1271</v>
      </c>
      <c r="C125" s="29">
        <v>4</v>
      </c>
      <c r="D125" s="29">
        <v>1</v>
      </c>
      <c r="E125" s="29">
        <v>4</v>
      </c>
      <c r="F125" s="29">
        <v>1</v>
      </c>
      <c r="G125" s="40"/>
      <c r="H125" s="40"/>
      <c r="I125" s="40"/>
      <c r="J125" s="40"/>
      <c r="K125" s="40"/>
      <c r="L125" s="40"/>
      <c r="M125" s="40"/>
      <c r="N125" s="40"/>
      <c r="O125" s="87">
        <v>10</v>
      </c>
    </row>
    <row r="126" spans="1:15">
      <c r="A126" s="40" t="s">
        <v>4</v>
      </c>
      <c r="B126" s="78" t="s">
        <v>1274</v>
      </c>
      <c r="C126" s="29">
        <v>38</v>
      </c>
      <c r="D126" s="29">
        <v>44</v>
      </c>
      <c r="E126" s="29">
        <v>29</v>
      </c>
      <c r="F126" s="29">
        <v>40</v>
      </c>
      <c r="G126" s="40"/>
      <c r="H126" s="40"/>
      <c r="I126" s="40"/>
      <c r="J126" s="40"/>
      <c r="K126" s="40"/>
      <c r="L126" s="40"/>
      <c r="M126" s="40"/>
      <c r="N126" s="40"/>
      <c r="O126" s="87">
        <v>151</v>
      </c>
    </row>
    <row r="127" spans="1:15">
      <c r="A127" s="40" t="s">
        <v>4</v>
      </c>
      <c r="B127" s="78" t="s">
        <v>1275</v>
      </c>
      <c r="C127" s="29">
        <v>1</v>
      </c>
      <c r="D127" s="29">
        <v>2</v>
      </c>
      <c r="E127" s="29">
        <v>1</v>
      </c>
      <c r="F127" s="29">
        <v>1</v>
      </c>
      <c r="G127" s="40"/>
      <c r="H127" s="40"/>
      <c r="I127" s="40"/>
      <c r="J127" s="40"/>
      <c r="K127" s="40"/>
      <c r="L127" s="40"/>
      <c r="M127" s="40"/>
      <c r="N127" s="40"/>
      <c r="O127" s="87">
        <v>5</v>
      </c>
    </row>
    <row r="128" spans="1:15">
      <c r="A128" s="40" t="s">
        <v>4</v>
      </c>
      <c r="B128" s="78" t="s">
        <v>1266</v>
      </c>
      <c r="C128" s="29">
        <v>24</v>
      </c>
      <c r="D128" s="29">
        <v>22</v>
      </c>
      <c r="E128" s="29">
        <v>28</v>
      </c>
      <c r="F128" s="29">
        <v>25</v>
      </c>
      <c r="G128" s="40"/>
      <c r="H128" s="40"/>
      <c r="I128" s="40"/>
      <c r="J128" s="40"/>
      <c r="K128" s="40"/>
      <c r="L128" s="40"/>
      <c r="M128" s="40"/>
      <c r="N128" s="40"/>
      <c r="O128" s="87">
        <v>99</v>
      </c>
    </row>
    <row r="129" spans="1:15">
      <c r="A129" s="40" t="s">
        <v>4</v>
      </c>
      <c r="B129" s="78" t="s">
        <v>1267</v>
      </c>
      <c r="C129" s="29">
        <v>4</v>
      </c>
      <c r="D129" s="29">
        <v>6</v>
      </c>
      <c r="E129" s="29">
        <v>2</v>
      </c>
      <c r="F129" s="29">
        <v>5</v>
      </c>
      <c r="G129" s="40"/>
      <c r="H129" s="40"/>
      <c r="I129" s="40"/>
      <c r="J129" s="40"/>
      <c r="K129" s="40"/>
      <c r="L129" s="40"/>
      <c r="M129" s="40"/>
      <c r="N129" s="40"/>
      <c r="O129" s="87">
        <v>17</v>
      </c>
    </row>
    <row r="130" spans="1:15">
      <c r="A130" s="40" t="s">
        <v>4</v>
      </c>
      <c r="B130" s="78" t="s">
        <v>1276</v>
      </c>
      <c r="C130" s="29">
        <v>43</v>
      </c>
      <c r="D130" s="29">
        <v>35</v>
      </c>
      <c r="E130" s="29">
        <v>53</v>
      </c>
      <c r="F130" s="29">
        <v>52</v>
      </c>
      <c r="G130" s="40"/>
      <c r="H130" s="40"/>
      <c r="I130" s="40"/>
      <c r="J130" s="40"/>
      <c r="K130" s="40"/>
      <c r="L130" s="40"/>
      <c r="M130" s="40"/>
      <c r="N130" s="40"/>
      <c r="O130" s="87">
        <v>183</v>
      </c>
    </row>
    <row r="131" spans="1:15">
      <c r="A131" s="40" t="s">
        <v>4</v>
      </c>
      <c r="B131" s="78" t="s">
        <v>1268</v>
      </c>
      <c r="C131" s="29">
        <v>5</v>
      </c>
      <c r="D131" s="29">
        <v>11</v>
      </c>
      <c r="E131" s="29">
        <v>8</v>
      </c>
      <c r="F131" s="29">
        <v>9</v>
      </c>
      <c r="G131" s="40"/>
      <c r="H131" s="40"/>
      <c r="I131" s="40"/>
      <c r="J131" s="40"/>
      <c r="K131" s="40"/>
      <c r="L131" s="40"/>
      <c r="M131" s="40"/>
      <c r="N131" s="40"/>
      <c r="O131" s="87">
        <v>33</v>
      </c>
    </row>
    <row r="132" spans="1:15">
      <c r="A132" s="40" t="s">
        <v>4</v>
      </c>
      <c r="B132" s="78" t="s">
        <v>1264</v>
      </c>
      <c r="C132" s="29">
        <v>10</v>
      </c>
      <c r="D132" s="29">
        <v>7</v>
      </c>
      <c r="E132" s="29">
        <v>7</v>
      </c>
      <c r="F132" s="29">
        <v>12</v>
      </c>
      <c r="G132" s="40"/>
      <c r="H132" s="40"/>
      <c r="I132" s="40"/>
      <c r="J132" s="40"/>
      <c r="K132" s="40"/>
      <c r="L132" s="40"/>
      <c r="M132" s="40"/>
      <c r="N132" s="40"/>
      <c r="O132" s="87">
        <v>36</v>
      </c>
    </row>
    <row r="133" spans="1:15">
      <c r="A133" s="40" t="s">
        <v>4</v>
      </c>
      <c r="B133" s="78" t="s">
        <v>1277</v>
      </c>
      <c r="C133" s="29">
        <v>2</v>
      </c>
      <c r="D133" s="29">
        <v>3</v>
      </c>
      <c r="E133" s="29"/>
      <c r="F133" s="29">
        <v>2</v>
      </c>
      <c r="G133" s="40"/>
      <c r="H133" s="40"/>
      <c r="I133" s="40"/>
      <c r="J133" s="40"/>
      <c r="K133" s="40"/>
      <c r="L133" s="40"/>
      <c r="M133" s="40"/>
      <c r="N133" s="40"/>
      <c r="O133" s="87">
        <v>7</v>
      </c>
    </row>
    <row r="134" spans="1:15">
      <c r="A134" s="40" t="s">
        <v>3</v>
      </c>
      <c r="B134" s="78" t="s">
        <v>1268</v>
      </c>
      <c r="C134" s="29">
        <v>50</v>
      </c>
      <c r="D134" s="29">
        <v>53</v>
      </c>
      <c r="E134" s="29">
        <v>57</v>
      </c>
      <c r="F134" s="29">
        <v>56</v>
      </c>
      <c r="G134" s="40"/>
      <c r="H134" s="40"/>
      <c r="I134" s="40"/>
      <c r="J134" s="40"/>
      <c r="K134" s="40"/>
      <c r="L134" s="40"/>
      <c r="M134" s="40"/>
      <c r="N134" s="40"/>
      <c r="O134" s="87">
        <v>216</v>
      </c>
    </row>
    <row r="135" spans="1:15">
      <c r="A135" s="40" t="s">
        <v>3</v>
      </c>
      <c r="B135" s="78" t="s">
        <v>1272</v>
      </c>
      <c r="C135" s="29">
        <v>3</v>
      </c>
      <c r="D135" s="29">
        <v>5</v>
      </c>
      <c r="E135" s="29">
        <v>2</v>
      </c>
      <c r="F135" s="29">
        <v>3</v>
      </c>
      <c r="G135" s="40"/>
      <c r="H135" s="40"/>
      <c r="I135" s="40"/>
      <c r="J135" s="40"/>
      <c r="K135" s="40"/>
      <c r="L135" s="40"/>
      <c r="M135" s="40"/>
      <c r="N135" s="40"/>
      <c r="O135" s="87">
        <v>13</v>
      </c>
    </row>
    <row r="136" spans="1:15">
      <c r="A136" s="40" t="s">
        <v>3</v>
      </c>
      <c r="B136" s="78" t="s">
        <v>1273</v>
      </c>
      <c r="C136" s="29"/>
      <c r="D136" s="29"/>
      <c r="E136" s="29">
        <v>1</v>
      </c>
      <c r="F136" s="29"/>
      <c r="G136" s="40"/>
      <c r="H136" s="40"/>
      <c r="I136" s="40"/>
      <c r="J136" s="40"/>
      <c r="K136" s="40"/>
      <c r="L136" s="40"/>
      <c r="M136" s="40"/>
      <c r="N136" s="40"/>
      <c r="O136" s="87">
        <v>1</v>
      </c>
    </row>
    <row r="137" spans="1:15">
      <c r="A137" s="40" t="s">
        <v>3</v>
      </c>
      <c r="B137" s="78" t="s">
        <v>1265</v>
      </c>
      <c r="C137" s="29">
        <v>52</v>
      </c>
      <c r="D137" s="29">
        <v>51</v>
      </c>
      <c r="E137" s="29">
        <v>53</v>
      </c>
      <c r="F137" s="29">
        <v>55</v>
      </c>
      <c r="G137" s="40"/>
      <c r="H137" s="40"/>
      <c r="I137" s="40"/>
      <c r="J137" s="40"/>
      <c r="K137" s="40"/>
      <c r="L137" s="40"/>
      <c r="M137" s="40"/>
      <c r="N137" s="40"/>
      <c r="O137" s="87">
        <v>211</v>
      </c>
    </row>
    <row r="138" spans="1:15">
      <c r="A138" s="40" t="s">
        <v>3</v>
      </c>
      <c r="B138" s="78" t="s">
        <v>1271</v>
      </c>
      <c r="C138" s="29">
        <v>4</v>
      </c>
      <c r="D138" s="29">
        <v>1</v>
      </c>
      <c r="E138" s="29">
        <v>4</v>
      </c>
      <c r="F138" s="29">
        <v>1</v>
      </c>
      <c r="G138" s="40"/>
      <c r="H138" s="40"/>
      <c r="I138" s="40"/>
      <c r="J138" s="40"/>
      <c r="K138" s="40"/>
      <c r="L138" s="40"/>
      <c r="M138" s="40"/>
      <c r="N138" s="40"/>
      <c r="O138" s="87">
        <v>10</v>
      </c>
    </row>
    <row r="139" spans="1:15">
      <c r="A139" s="40" t="s">
        <v>3</v>
      </c>
      <c r="B139" s="78" t="s">
        <v>1274</v>
      </c>
      <c r="C139" s="29">
        <v>38</v>
      </c>
      <c r="D139" s="29">
        <v>44</v>
      </c>
      <c r="E139" s="29">
        <v>29</v>
      </c>
      <c r="F139" s="29">
        <v>40</v>
      </c>
      <c r="G139" s="40"/>
      <c r="H139" s="40"/>
      <c r="I139" s="40"/>
      <c r="J139" s="40"/>
      <c r="K139" s="40"/>
      <c r="L139" s="40"/>
      <c r="M139" s="40"/>
      <c r="N139" s="40"/>
      <c r="O139" s="87">
        <v>151</v>
      </c>
    </row>
    <row r="140" spans="1:15">
      <c r="A140" s="40" t="s">
        <v>3</v>
      </c>
      <c r="B140" s="78" t="s">
        <v>1275</v>
      </c>
      <c r="C140" s="29">
        <v>1</v>
      </c>
      <c r="D140" s="29">
        <v>2</v>
      </c>
      <c r="E140" s="29">
        <v>1</v>
      </c>
      <c r="F140" s="29">
        <v>1</v>
      </c>
      <c r="G140" s="40"/>
      <c r="H140" s="40"/>
      <c r="I140" s="40"/>
      <c r="J140" s="40"/>
      <c r="K140" s="40"/>
      <c r="L140" s="40"/>
      <c r="M140" s="40"/>
      <c r="N140" s="40"/>
      <c r="O140" s="87">
        <v>5</v>
      </c>
    </row>
    <row r="141" spans="1:15">
      <c r="A141" s="40" t="s">
        <v>3</v>
      </c>
      <c r="B141" s="78" t="s">
        <v>1266</v>
      </c>
      <c r="C141" s="29">
        <v>24</v>
      </c>
      <c r="D141" s="29">
        <v>22</v>
      </c>
      <c r="E141" s="29">
        <v>28</v>
      </c>
      <c r="F141" s="29">
        <v>25</v>
      </c>
      <c r="G141" s="40"/>
      <c r="H141" s="40"/>
      <c r="I141" s="40"/>
      <c r="J141" s="40"/>
      <c r="K141" s="40"/>
      <c r="L141" s="40"/>
      <c r="M141" s="40"/>
      <c r="N141" s="40"/>
      <c r="O141" s="87">
        <v>99</v>
      </c>
    </row>
    <row r="142" spans="1:15">
      <c r="A142" s="40" t="s">
        <v>3</v>
      </c>
      <c r="B142" s="78" t="s">
        <v>1267</v>
      </c>
      <c r="C142" s="29">
        <v>4</v>
      </c>
      <c r="D142" s="29">
        <v>6</v>
      </c>
      <c r="E142" s="29">
        <v>2</v>
      </c>
      <c r="F142" s="29">
        <v>5</v>
      </c>
      <c r="G142" s="40"/>
      <c r="H142" s="40"/>
      <c r="I142" s="40"/>
      <c r="J142" s="40"/>
      <c r="K142" s="40"/>
      <c r="L142" s="40"/>
      <c r="M142" s="40"/>
      <c r="N142" s="40"/>
      <c r="O142" s="87">
        <v>17</v>
      </c>
    </row>
    <row r="143" spans="1:15">
      <c r="A143" s="40" t="s">
        <v>3</v>
      </c>
      <c r="B143" s="78" t="s">
        <v>1276</v>
      </c>
      <c r="C143" s="29">
        <v>43</v>
      </c>
      <c r="D143" s="29">
        <v>35</v>
      </c>
      <c r="E143" s="29">
        <v>53</v>
      </c>
      <c r="F143" s="29">
        <v>52</v>
      </c>
      <c r="G143" s="40"/>
      <c r="H143" s="40"/>
      <c r="I143" s="40"/>
      <c r="J143" s="40"/>
      <c r="K143" s="40"/>
      <c r="L143" s="40"/>
      <c r="M143" s="40"/>
      <c r="N143" s="40"/>
      <c r="O143" s="87">
        <v>183</v>
      </c>
    </row>
    <row r="144" spans="1:15">
      <c r="A144" s="40" t="s">
        <v>3</v>
      </c>
      <c r="B144" s="78" t="s">
        <v>1268</v>
      </c>
      <c r="C144" s="29">
        <v>5</v>
      </c>
      <c r="D144" s="29">
        <v>11</v>
      </c>
      <c r="E144" s="29">
        <v>8</v>
      </c>
      <c r="F144" s="29">
        <v>9</v>
      </c>
      <c r="G144" s="40"/>
      <c r="H144" s="40"/>
      <c r="I144" s="40"/>
      <c r="J144" s="40"/>
      <c r="K144" s="40"/>
      <c r="L144" s="40"/>
      <c r="M144" s="40"/>
      <c r="N144" s="40"/>
      <c r="O144" s="87">
        <v>33</v>
      </c>
    </row>
    <row r="145" spans="1:15">
      <c r="A145" s="40" t="s">
        <v>3</v>
      </c>
      <c r="B145" s="78" t="s">
        <v>1264</v>
      </c>
      <c r="C145" s="29">
        <v>10</v>
      </c>
      <c r="D145" s="29">
        <v>7</v>
      </c>
      <c r="E145" s="29">
        <v>7</v>
      </c>
      <c r="F145" s="29">
        <v>12</v>
      </c>
      <c r="G145" s="40"/>
      <c r="H145" s="40"/>
      <c r="I145" s="40"/>
      <c r="J145" s="40"/>
      <c r="K145" s="40"/>
      <c r="L145" s="40"/>
      <c r="M145" s="40"/>
      <c r="N145" s="40"/>
      <c r="O145" s="87">
        <v>36</v>
      </c>
    </row>
    <row r="146" spans="1:15">
      <c r="A146" s="40" t="s">
        <v>3</v>
      </c>
      <c r="B146" s="78" t="s">
        <v>1277</v>
      </c>
      <c r="C146" s="29">
        <v>2</v>
      </c>
      <c r="D146" s="29">
        <v>3</v>
      </c>
      <c r="E146" s="29"/>
      <c r="F146" s="29">
        <v>2</v>
      </c>
      <c r="G146" s="40"/>
      <c r="H146" s="40"/>
      <c r="I146" s="40"/>
      <c r="J146" s="40"/>
      <c r="K146" s="40"/>
      <c r="L146" s="40"/>
      <c r="M146" s="40"/>
      <c r="N146" s="40"/>
      <c r="O146" s="87">
        <v>7</v>
      </c>
    </row>
    <row r="147" spans="1:15">
      <c r="A147" s="40" t="s">
        <v>3</v>
      </c>
      <c r="B147" s="78" t="s">
        <v>1265</v>
      </c>
      <c r="C147" s="29">
        <v>41</v>
      </c>
      <c r="D147" s="29">
        <v>43</v>
      </c>
      <c r="E147" s="29">
        <v>40</v>
      </c>
      <c r="F147" s="29">
        <v>47</v>
      </c>
      <c r="G147" s="40"/>
      <c r="H147" s="40"/>
      <c r="I147" s="40"/>
      <c r="J147" s="40"/>
      <c r="K147" s="40"/>
      <c r="L147" s="40"/>
      <c r="M147" s="40"/>
      <c r="N147" s="40"/>
      <c r="O147" s="87">
        <v>171</v>
      </c>
    </row>
    <row r="148" spans="1:15">
      <c r="A148" s="40" t="s">
        <v>3</v>
      </c>
      <c r="B148" s="78" t="s">
        <v>1271</v>
      </c>
      <c r="C148" s="29">
        <v>23</v>
      </c>
      <c r="D148" s="29">
        <v>20</v>
      </c>
      <c r="E148" s="29">
        <v>20</v>
      </c>
      <c r="F148" s="29">
        <v>27</v>
      </c>
      <c r="G148" s="40"/>
      <c r="H148" s="40"/>
      <c r="I148" s="40"/>
      <c r="J148" s="40"/>
      <c r="K148" s="40"/>
      <c r="L148" s="40"/>
      <c r="M148" s="40"/>
      <c r="N148" s="40"/>
      <c r="O148" s="87">
        <v>90</v>
      </c>
    </row>
    <row r="149" spans="1:15">
      <c r="A149" s="40" t="s">
        <v>3</v>
      </c>
      <c r="B149" s="78" t="s">
        <v>1274</v>
      </c>
      <c r="C149" s="29">
        <v>19</v>
      </c>
      <c r="D149" s="29">
        <v>17</v>
      </c>
      <c r="E149" s="29">
        <v>26</v>
      </c>
      <c r="F149" s="29">
        <v>18</v>
      </c>
      <c r="G149" s="40"/>
      <c r="H149" s="40"/>
      <c r="I149" s="40"/>
      <c r="J149" s="40"/>
      <c r="K149" s="40"/>
      <c r="L149" s="40"/>
      <c r="M149" s="40"/>
      <c r="N149" s="40"/>
      <c r="O149" s="87">
        <v>80</v>
      </c>
    </row>
    <row r="150" spans="1:15">
      <c r="A150" s="40" t="s">
        <v>3</v>
      </c>
      <c r="B150" s="78" t="s">
        <v>1266</v>
      </c>
      <c r="C150" s="29">
        <v>5</v>
      </c>
      <c r="D150" s="29">
        <v>5</v>
      </c>
      <c r="E150" s="29">
        <v>6</v>
      </c>
      <c r="F150" s="29">
        <v>7</v>
      </c>
      <c r="G150" s="40"/>
      <c r="H150" s="40"/>
      <c r="I150" s="40"/>
      <c r="J150" s="40"/>
      <c r="K150" s="40"/>
      <c r="L150" s="40"/>
      <c r="M150" s="40"/>
      <c r="N150" s="40"/>
      <c r="O150" s="87">
        <v>23</v>
      </c>
    </row>
    <row r="151" spans="1:15">
      <c r="A151" s="40" t="s">
        <v>3</v>
      </c>
      <c r="B151" s="78" t="s">
        <v>1267</v>
      </c>
      <c r="C151" s="29"/>
      <c r="D151" s="29">
        <v>1</v>
      </c>
      <c r="E151" s="29"/>
      <c r="F151" s="29"/>
      <c r="G151" s="40"/>
      <c r="H151" s="40"/>
      <c r="I151" s="40"/>
      <c r="J151" s="40"/>
      <c r="K151" s="40"/>
      <c r="L151" s="40"/>
      <c r="M151" s="40"/>
      <c r="N151" s="40"/>
      <c r="O151" s="87">
        <v>1</v>
      </c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20"/>
  <sheetViews>
    <sheetView zoomScale="85" zoomScaleNormal="85" workbookViewId="0">
      <selection activeCell="A12" sqref="A12:P13"/>
    </sheetView>
  </sheetViews>
  <sheetFormatPr defaultColWidth="8.7265625" defaultRowHeight="14.5"/>
  <cols>
    <col min="1" max="1" width="8.7265625" style="24"/>
    <col min="2" max="2" width="9.7265625" style="24" customWidth="1"/>
    <col min="3" max="3" width="32.1796875" style="24" customWidth="1"/>
    <col min="4" max="16384" width="8.7265625" style="24"/>
  </cols>
  <sheetData>
    <row r="1" spans="1:16" s="47" customFormat="1" ht="20.5" customHeight="1">
      <c r="A1" s="32" t="s">
        <v>1186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22" customHeight="1">
      <c r="A2" s="36" t="s">
        <v>5</v>
      </c>
      <c r="B2" s="36" t="s">
        <v>1214</v>
      </c>
      <c r="C2" s="36" t="s">
        <v>1182</v>
      </c>
      <c r="D2" s="66" t="s">
        <v>7</v>
      </c>
      <c r="E2" s="66" t="s">
        <v>8</v>
      </c>
      <c r="F2" s="36" t="s">
        <v>12</v>
      </c>
      <c r="G2" s="36" t="s">
        <v>13</v>
      </c>
      <c r="H2" s="36" t="s">
        <v>109</v>
      </c>
      <c r="I2" s="36" t="s">
        <v>110</v>
      </c>
      <c r="J2" s="36" t="s">
        <v>111</v>
      </c>
      <c r="K2" s="36" t="s">
        <v>112</v>
      </c>
      <c r="L2" s="36" t="s">
        <v>113</v>
      </c>
      <c r="M2" s="36" t="s">
        <v>114</v>
      </c>
      <c r="N2" s="36" t="s">
        <v>115</v>
      </c>
      <c r="O2" s="36" t="s">
        <v>116</v>
      </c>
      <c r="P2" s="73" t="s">
        <v>0</v>
      </c>
    </row>
    <row r="3" spans="1:16" ht="29">
      <c r="A3" s="40" t="s">
        <v>2</v>
      </c>
      <c r="B3" s="128" t="s">
        <v>1278</v>
      </c>
      <c r="C3" s="129" t="s">
        <v>1320</v>
      </c>
      <c r="D3" s="130">
        <v>93</v>
      </c>
      <c r="E3" s="130">
        <v>70</v>
      </c>
      <c r="F3" s="130">
        <v>53</v>
      </c>
      <c r="G3" s="130">
        <v>62</v>
      </c>
      <c r="H3" s="76"/>
      <c r="I3" s="76"/>
      <c r="J3" s="76"/>
      <c r="K3" s="76"/>
      <c r="L3" s="76"/>
      <c r="M3" s="76"/>
      <c r="N3" s="76"/>
      <c r="O3" s="76"/>
      <c r="P3" s="77">
        <v>278</v>
      </c>
    </row>
    <row r="4" spans="1:16" ht="29">
      <c r="A4" s="40" t="s">
        <v>2</v>
      </c>
      <c r="B4" s="128" t="s">
        <v>1279</v>
      </c>
      <c r="C4" s="129" t="s">
        <v>1321</v>
      </c>
      <c r="D4" s="130">
        <v>7</v>
      </c>
      <c r="E4" s="130">
        <v>6</v>
      </c>
      <c r="F4" s="130">
        <v>8</v>
      </c>
      <c r="G4" s="130">
        <v>2</v>
      </c>
      <c r="H4" s="76"/>
      <c r="I4" s="76"/>
      <c r="J4" s="76"/>
      <c r="K4" s="76"/>
      <c r="L4" s="76"/>
      <c r="M4" s="76"/>
      <c r="N4" s="76"/>
      <c r="O4" s="76"/>
      <c r="P4" s="77">
        <v>23</v>
      </c>
    </row>
    <row r="5" spans="1:16" ht="29">
      <c r="A5" s="40" t="s">
        <v>2</v>
      </c>
      <c r="B5" s="128" t="s">
        <v>1378</v>
      </c>
      <c r="C5" s="129" t="s">
        <v>1379</v>
      </c>
      <c r="D5" s="130">
        <v>21</v>
      </c>
      <c r="E5" s="130">
        <v>10</v>
      </c>
      <c r="F5" s="130">
        <v>12</v>
      </c>
      <c r="G5" s="130">
        <v>13</v>
      </c>
      <c r="H5" s="76"/>
      <c r="I5" s="76"/>
      <c r="J5" s="76"/>
      <c r="K5" s="76"/>
      <c r="L5" s="76"/>
      <c r="M5" s="76"/>
      <c r="N5" s="76"/>
      <c r="O5" s="76"/>
      <c r="P5" s="77">
        <v>56</v>
      </c>
    </row>
    <row r="6" spans="1:16" ht="43.5">
      <c r="A6" s="40" t="s">
        <v>2</v>
      </c>
      <c r="B6" s="128" t="s">
        <v>1380</v>
      </c>
      <c r="C6" s="129" t="s">
        <v>1381</v>
      </c>
      <c r="D6" s="130">
        <v>1</v>
      </c>
      <c r="E6" s="130">
        <v>0</v>
      </c>
      <c r="F6" s="130">
        <v>0</v>
      </c>
      <c r="G6" s="130">
        <v>1</v>
      </c>
      <c r="H6" s="76"/>
      <c r="I6" s="76"/>
      <c r="J6" s="76"/>
      <c r="K6" s="76"/>
      <c r="L6" s="76"/>
      <c r="M6" s="76"/>
      <c r="N6" s="76"/>
      <c r="O6" s="76"/>
      <c r="P6" s="77">
        <v>2</v>
      </c>
    </row>
    <row r="7" spans="1:16" ht="43.5">
      <c r="A7" s="40" t="s">
        <v>2</v>
      </c>
      <c r="B7" s="128" t="s">
        <v>1382</v>
      </c>
      <c r="C7" s="129" t="s">
        <v>1383</v>
      </c>
      <c r="D7" s="130">
        <v>1</v>
      </c>
      <c r="E7" s="130">
        <v>0</v>
      </c>
      <c r="F7" s="130">
        <v>0</v>
      </c>
      <c r="G7" s="130">
        <v>4</v>
      </c>
      <c r="H7" s="76"/>
      <c r="I7" s="76"/>
      <c r="J7" s="76"/>
      <c r="K7" s="76"/>
      <c r="L7" s="76"/>
      <c r="M7" s="76"/>
      <c r="N7" s="76"/>
      <c r="O7" s="76"/>
      <c r="P7" s="77">
        <v>5</v>
      </c>
    </row>
    <row r="8" spans="1:16">
      <c r="A8" s="61" t="s">
        <v>1</v>
      </c>
      <c r="B8" s="79" t="s">
        <v>1278</v>
      </c>
      <c r="C8" s="109" t="s">
        <v>1320</v>
      </c>
      <c r="D8" s="27">
        <v>63</v>
      </c>
      <c r="E8" s="27">
        <v>48</v>
      </c>
      <c r="F8" s="27">
        <v>63</v>
      </c>
      <c r="G8" s="27">
        <v>48</v>
      </c>
      <c r="H8" s="63"/>
      <c r="I8" s="63"/>
      <c r="J8" s="63"/>
      <c r="K8" s="63"/>
      <c r="L8" s="63"/>
      <c r="M8" s="63"/>
      <c r="N8" s="63"/>
      <c r="O8" s="63"/>
      <c r="P8" s="80">
        <v>222</v>
      </c>
    </row>
    <row r="9" spans="1:16">
      <c r="A9" s="61" t="s">
        <v>1</v>
      </c>
      <c r="B9" s="79" t="s">
        <v>1279</v>
      </c>
      <c r="C9" s="109" t="s">
        <v>1321</v>
      </c>
      <c r="D9" s="27">
        <v>63</v>
      </c>
      <c r="E9" s="27">
        <v>48</v>
      </c>
      <c r="F9" s="27">
        <v>63</v>
      </c>
      <c r="G9" s="27">
        <v>48</v>
      </c>
      <c r="H9" s="63"/>
      <c r="I9" s="63"/>
      <c r="J9" s="63"/>
      <c r="K9" s="63"/>
      <c r="L9" s="63"/>
      <c r="M9" s="63"/>
      <c r="N9" s="63"/>
      <c r="O9" s="63"/>
      <c r="P9" s="80">
        <v>222</v>
      </c>
    </row>
    <row r="10" spans="1:16">
      <c r="A10" s="61" t="s">
        <v>4</v>
      </c>
      <c r="B10" s="79" t="s">
        <v>1278</v>
      </c>
      <c r="C10" s="109" t="s">
        <v>1320</v>
      </c>
      <c r="D10" s="110">
        <v>70</v>
      </c>
      <c r="E10" s="110">
        <v>55</v>
      </c>
      <c r="F10" s="110">
        <v>53</v>
      </c>
      <c r="G10" s="110">
        <v>60</v>
      </c>
      <c r="H10" s="63"/>
      <c r="I10" s="63"/>
      <c r="J10" s="63"/>
      <c r="K10" s="63"/>
      <c r="L10" s="63"/>
      <c r="M10" s="63"/>
      <c r="N10" s="63"/>
      <c r="O10" s="63"/>
      <c r="P10" s="80">
        <v>238</v>
      </c>
    </row>
    <row r="11" spans="1:16">
      <c r="A11" s="61" t="s">
        <v>4</v>
      </c>
      <c r="B11" s="79" t="s">
        <v>1279</v>
      </c>
      <c r="C11" s="109" t="s">
        <v>1321</v>
      </c>
      <c r="D11" s="110">
        <v>5</v>
      </c>
      <c r="E11" s="110">
        <v>7</v>
      </c>
      <c r="F11" s="110">
        <v>8</v>
      </c>
      <c r="G11" s="110">
        <v>10</v>
      </c>
      <c r="H11" s="63"/>
      <c r="I11" s="63"/>
      <c r="J11" s="63"/>
      <c r="K11" s="63"/>
      <c r="L11" s="63"/>
      <c r="M11" s="63"/>
      <c r="N11" s="63"/>
      <c r="O11" s="63"/>
      <c r="P11" s="80">
        <v>30</v>
      </c>
    </row>
    <row r="12" spans="1:16">
      <c r="A12" s="61" t="s">
        <v>3</v>
      </c>
      <c r="B12" s="79" t="s">
        <v>1278</v>
      </c>
      <c r="C12" s="109" t="s">
        <v>1320</v>
      </c>
      <c r="D12" s="27">
        <v>50</v>
      </c>
      <c r="E12" s="27">
        <v>48</v>
      </c>
      <c r="F12" s="27">
        <v>63</v>
      </c>
      <c r="G12" s="27">
        <v>50</v>
      </c>
      <c r="H12" s="63"/>
      <c r="I12" s="63"/>
      <c r="J12" s="63"/>
      <c r="K12" s="63"/>
      <c r="L12" s="63"/>
      <c r="M12" s="63"/>
      <c r="N12" s="63"/>
      <c r="O12" s="63"/>
      <c r="P12" s="80">
        <v>211</v>
      </c>
    </row>
    <row r="13" spans="1:16">
      <c r="A13" s="61" t="s">
        <v>3</v>
      </c>
      <c r="B13" s="79" t="s">
        <v>1279</v>
      </c>
      <c r="C13" s="109" t="s">
        <v>1321</v>
      </c>
      <c r="D13" s="27">
        <v>10</v>
      </c>
      <c r="E13" s="27">
        <v>5</v>
      </c>
      <c r="F13" s="27">
        <v>6</v>
      </c>
      <c r="G13" s="27">
        <v>10</v>
      </c>
      <c r="H13" s="63"/>
      <c r="I13" s="63"/>
      <c r="J13" s="63"/>
      <c r="K13" s="63"/>
      <c r="L13" s="63"/>
      <c r="M13" s="63"/>
      <c r="N13" s="63"/>
      <c r="O13" s="63"/>
      <c r="P13" s="80">
        <v>31</v>
      </c>
    </row>
    <row r="14" spans="1:16">
      <c r="A14" s="61"/>
      <c r="B14" s="81"/>
      <c r="C14" s="82"/>
      <c r="D14" s="61"/>
      <c r="E14" s="61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80" t="str">
        <f t="shared" ref="P11:P20" si="0">IF(SUM(D14:O14)=0,"",SUM(D14:O14))</f>
        <v/>
      </c>
    </row>
    <row r="15" spans="1:16">
      <c r="A15" s="61"/>
      <c r="B15" s="81"/>
      <c r="C15" s="82"/>
      <c r="D15" s="61"/>
      <c r="E15" s="61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80" t="str">
        <f t="shared" si="0"/>
        <v/>
      </c>
    </row>
    <row r="16" spans="1:16">
      <c r="A16" s="61"/>
      <c r="B16" s="81"/>
      <c r="C16" s="82"/>
      <c r="D16" s="61"/>
      <c r="E16" s="61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80" t="str">
        <f t="shared" si="0"/>
        <v/>
      </c>
    </row>
    <row r="17" spans="1:16">
      <c r="A17" s="61"/>
      <c r="B17" s="81"/>
      <c r="C17" s="82"/>
      <c r="D17" s="61"/>
      <c r="E17" s="61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80" t="str">
        <f t="shared" si="0"/>
        <v/>
      </c>
    </row>
    <row r="18" spans="1:16">
      <c r="A18" s="61"/>
      <c r="B18" s="81"/>
      <c r="C18" s="82"/>
      <c r="D18" s="61"/>
      <c r="E18" s="61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80" t="str">
        <f t="shared" si="0"/>
        <v/>
      </c>
    </row>
    <row r="19" spans="1:16">
      <c r="A19" s="61"/>
      <c r="B19" s="81"/>
      <c r="C19" s="82"/>
      <c r="D19" s="61"/>
      <c r="E19" s="61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80" t="str">
        <f t="shared" si="0"/>
        <v/>
      </c>
    </row>
    <row r="20" spans="1:16">
      <c r="A20" s="61"/>
      <c r="B20" s="81"/>
      <c r="C20" s="82"/>
      <c r="D20" s="61"/>
      <c r="E20" s="61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80" t="str">
        <f t="shared" si="0"/>
        <v/>
      </c>
    </row>
  </sheetData>
  <conditionalFormatting sqref="B14:C20">
    <cfRule type="duplicateValues" dxfId="101" priority="10"/>
  </conditionalFormatting>
  <conditionalFormatting sqref="B3:B7">
    <cfRule type="duplicateValues" dxfId="64" priority="4"/>
  </conditionalFormatting>
  <conditionalFormatting sqref="B8:B9">
    <cfRule type="duplicateValues" dxfId="37" priority="3"/>
  </conditionalFormatting>
  <conditionalFormatting sqref="B10:B11">
    <cfRule type="duplicateValues" dxfId="22" priority="2"/>
  </conditionalFormatting>
  <conditionalFormatting sqref="B12:B13">
    <cfRule type="duplicateValues" dxfId="5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Q51"/>
  <sheetViews>
    <sheetView zoomScale="85" zoomScaleNormal="85" workbookViewId="0">
      <selection activeCell="A45" sqref="A45:Q51"/>
    </sheetView>
  </sheetViews>
  <sheetFormatPr defaultColWidth="8.7265625" defaultRowHeight="14.5"/>
  <cols>
    <col min="1" max="1" width="6.54296875" style="38" customWidth="1"/>
    <col min="2" max="2" width="12.81640625" style="38" customWidth="1"/>
    <col min="3" max="3" width="35.1796875" style="116" customWidth="1"/>
    <col min="4" max="16384" width="8.7265625" style="38"/>
  </cols>
  <sheetData>
    <row r="1" spans="1:16" s="47" customFormat="1" ht="20.149999999999999" customHeight="1">
      <c r="A1" s="32" t="s">
        <v>1185</v>
      </c>
      <c r="B1" s="33"/>
      <c r="C1" s="115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22" customHeight="1">
      <c r="A2" s="36" t="s">
        <v>5</v>
      </c>
      <c r="B2" s="36" t="s">
        <v>1214</v>
      </c>
      <c r="C2" s="65" t="s">
        <v>1183</v>
      </c>
      <c r="D2" s="66" t="s">
        <v>7</v>
      </c>
      <c r="E2" s="66" t="s">
        <v>8</v>
      </c>
      <c r="F2" s="36" t="s">
        <v>12</v>
      </c>
      <c r="G2" s="36" t="s">
        <v>13</v>
      </c>
      <c r="H2" s="36" t="s">
        <v>109</v>
      </c>
      <c r="I2" s="36" t="s">
        <v>110</v>
      </c>
      <c r="J2" s="36" t="s">
        <v>111</v>
      </c>
      <c r="K2" s="36" t="s">
        <v>112</v>
      </c>
      <c r="L2" s="36" t="s">
        <v>113</v>
      </c>
      <c r="M2" s="36" t="s">
        <v>114</v>
      </c>
      <c r="N2" s="36" t="s">
        <v>115</v>
      </c>
      <c r="O2" s="36" t="s">
        <v>116</v>
      </c>
      <c r="P2" s="73" t="s">
        <v>0</v>
      </c>
    </row>
    <row r="3" spans="1:16">
      <c r="A3" s="25" t="s">
        <v>2</v>
      </c>
      <c r="B3" s="131" t="s">
        <v>1384</v>
      </c>
      <c r="C3" s="132" t="s">
        <v>1385</v>
      </c>
      <c r="D3" s="130">
        <v>58</v>
      </c>
      <c r="E3" s="130">
        <v>71</v>
      </c>
      <c r="F3" s="130">
        <v>87</v>
      </c>
      <c r="G3" s="130">
        <v>69</v>
      </c>
      <c r="H3" s="76"/>
      <c r="I3" s="76"/>
      <c r="J3" s="76"/>
      <c r="K3" s="76"/>
      <c r="L3" s="76"/>
      <c r="M3" s="76"/>
      <c r="N3" s="76"/>
      <c r="O3" s="76"/>
      <c r="P3" s="77">
        <v>285</v>
      </c>
    </row>
    <row r="4" spans="1:16">
      <c r="A4" s="25" t="s">
        <v>2</v>
      </c>
      <c r="B4" s="131" t="s">
        <v>1386</v>
      </c>
      <c r="C4" s="132" t="s">
        <v>1385</v>
      </c>
      <c r="D4" s="130">
        <v>16</v>
      </c>
      <c r="E4" s="130">
        <v>15</v>
      </c>
      <c r="F4" s="130">
        <v>15</v>
      </c>
      <c r="G4" s="130">
        <v>7</v>
      </c>
      <c r="H4" s="76"/>
      <c r="I4" s="76"/>
      <c r="J4" s="76"/>
      <c r="K4" s="76"/>
      <c r="L4" s="76"/>
      <c r="M4" s="76"/>
      <c r="N4" s="76"/>
      <c r="O4" s="76"/>
      <c r="P4" s="77">
        <v>53</v>
      </c>
    </row>
    <row r="5" spans="1:16">
      <c r="A5" s="25" t="s">
        <v>2</v>
      </c>
      <c r="B5" s="131" t="s">
        <v>1387</v>
      </c>
      <c r="C5" s="132" t="s">
        <v>1385</v>
      </c>
      <c r="D5" s="130">
        <v>31</v>
      </c>
      <c r="E5" s="130">
        <v>36</v>
      </c>
      <c r="F5" s="130">
        <v>29</v>
      </c>
      <c r="G5" s="130">
        <v>22</v>
      </c>
      <c r="H5" s="76"/>
      <c r="I5" s="76"/>
      <c r="J5" s="76"/>
      <c r="K5" s="76"/>
      <c r="L5" s="76"/>
      <c r="M5" s="76"/>
      <c r="N5" s="76"/>
      <c r="O5" s="76"/>
      <c r="P5" s="77">
        <v>118</v>
      </c>
    </row>
    <row r="6" spans="1:16">
      <c r="A6" s="25" t="s">
        <v>2</v>
      </c>
      <c r="B6" s="131" t="s">
        <v>1388</v>
      </c>
      <c r="C6" s="132" t="s">
        <v>1385</v>
      </c>
      <c r="D6" s="130">
        <v>2</v>
      </c>
      <c r="E6" s="130">
        <v>6</v>
      </c>
      <c r="F6" s="130">
        <v>4</v>
      </c>
      <c r="G6" s="130">
        <v>6</v>
      </c>
      <c r="H6" s="76"/>
      <c r="I6" s="76"/>
      <c r="J6" s="76"/>
      <c r="K6" s="76"/>
      <c r="L6" s="76"/>
      <c r="M6" s="76"/>
      <c r="N6" s="76"/>
      <c r="O6" s="76"/>
      <c r="P6" s="77">
        <v>18</v>
      </c>
    </row>
    <row r="7" spans="1:16" ht="43.5">
      <c r="A7" s="25" t="s">
        <v>2</v>
      </c>
      <c r="B7" s="131" t="s">
        <v>1283</v>
      </c>
      <c r="C7" s="132" t="s">
        <v>1323</v>
      </c>
      <c r="D7" s="130">
        <v>53</v>
      </c>
      <c r="E7" s="130">
        <v>64</v>
      </c>
      <c r="F7" s="130">
        <v>54</v>
      </c>
      <c r="G7" s="130">
        <v>73</v>
      </c>
      <c r="H7" s="76"/>
      <c r="I7" s="76"/>
      <c r="J7" s="76"/>
      <c r="K7" s="76"/>
      <c r="L7" s="76"/>
      <c r="M7" s="76"/>
      <c r="N7" s="76"/>
      <c r="O7" s="76"/>
      <c r="P7" s="77">
        <v>244</v>
      </c>
    </row>
    <row r="8" spans="1:16" ht="29">
      <c r="A8" s="25" t="s">
        <v>2</v>
      </c>
      <c r="B8" s="131" t="s">
        <v>1335</v>
      </c>
      <c r="C8" s="132" t="s">
        <v>1280</v>
      </c>
      <c r="D8" s="130">
        <v>82</v>
      </c>
      <c r="E8" s="130">
        <v>86</v>
      </c>
      <c r="F8" s="130">
        <v>78</v>
      </c>
      <c r="G8" s="130">
        <v>100</v>
      </c>
      <c r="H8" s="76"/>
      <c r="I8" s="76"/>
      <c r="J8" s="76"/>
      <c r="K8" s="76"/>
      <c r="L8" s="76"/>
      <c r="M8" s="76"/>
      <c r="N8" s="76"/>
      <c r="O8" s="76"/>
      <c r="P8" s="77">
        <v>346</v>
      </c>
    </row>
    <row r="9" spans="1:16" ht="29">
      <c r="A9" s="25" t="s">
        <v>2</v>
      </c>
      <c r="B9" s="131" t="s">
        <v>1282</v>
      </c>
      <c r="C9" s="132" t="s">
        <v>1322</v>
      </c>
      <c r="D9" s="130">
        <v>10</v>
      </c>
      <c r="E9" s="130">
        <v>9</v>
      </c>
      <c r="F9" s="130">
        <v>8</v>
      </c>
      <c r="G9" s="130">
        <v>10</v>
      </c>
      <c r="H9" s="76"/>
      <c r="I9" s="76"/>
      <c r="J9" s="76"/>
      <c r="K9" s="76"/>
      <c r="L9" s="76"/>
      <c r="M9" s="76"/>
      <c r="N9" s="76"/>
      <c r="O9" s="76"/>
      <c r="P9" s="77">
        <v>37</v>
      </c>
    </row>
    <row r="10" spans="1:16" ht="29">
      <c r="A10" s="25" t="s">
        <v>2</v>
      </c>
      <c r="B10" s="131" t="s">
        <v>1336</v>
      </c>
      <c r="C10" s="132" t="s">
        <v>1281</v>
      </c>
      <c r="D10" s="130">
        <v>100</v>
      </c>
      <c r="E10" s="130">
        <v>108</v>
      </c>
      <c r="F10" s="130">
        <v>97</v>
      </c>
      <c r="G10" s="130">
        <v>115</v>
      </c>
      <c r="H10" s="76"/>
      <c r="I10" s="76"/>
      <c r="J10" s="76"/>
      <c r="K10" s="76"/>
      <c r="L10" s="76"/>
      <c r="M10" s="76"/>
      <c r="N10" s="76"/>
      <c r="O10" s="76"/>
      <c r="P10" s="77">
        <v>420</v>
      </c>
    </row>
    <row r="11" spans="1:16" ht="29.25" customHeight="1">
      <c r="A11" s="25" t="s">
        <v>2</v>
      </c>
      <c r="B11" s="133" t="s">
        <v>1389</v>
      </c>
      <c r="C11" s="132" t="s">
        <v>1390</v>
      </c>
      <c r="D11" s="130">
        <v>48</v>
      </c>
      <c r="E11" s="130">
        <v>59</v>
      </c>
      <c r="F11" s="130">
        <v>49</v>
      </c>
      <c r="G11" s="130">
        <v>68</v>
      </c>
      <c r="H11" s="76"/>
      <c r="I11" s="76"/>
      <c r="J11" s="76"/>
      <c r="K11" s="76"/>
      <c r="L11" s="76"/>
      <c r="M11" s="76"/>
      <c r="N11" s="76"/>
      <c r="O11" s="76"/>
      <c r="P11" s="77">
        <v>224</v>
      </c>
    </row>
    <row r="12" spans="1:16" ht="43.5">
      <c r="A12" s="25" t="s">
        <v>2</v>
      </c>
      <c r="B12" s="133" t="s">
        <v>1391</v>
      </c>
      <c r="C12" s="134" t="s">
        <v>1392</v>
      </c>
      <c r="D12" s="130">
        <v>2</v>
      </c>
      <c r="E12" s="130">
        <v>2</v>
      </c>
      <c r="F12" s="130">
        <v>2</v>
      </c>
      <c r="G12" s="130">
        <v>2</v>
      </c>
      <c r="H12" s="76"/>
      <c r="I12" s="76"/>
      <c r="J12" s="76"/>
      <c r="K12" s="76"/>
      <c r="L12" s="76"/>
      <c r="M12" s="76"/>
      <c r="N12" s="76"/>
      <c r="O12" s="76"/>
      <c r="P12" s="77">
        <v>8</v>
      </c>
    </row>
    <row r="13" spans="1:16">
      <c r="A13" s="25" t="s">
        <v>2</v>
      </c>
      <c r="B13" s="133" t="s">
        <v>1393</v>
      </c>
      <c r="C13" s="134" t="s">
        <v>1394</v>
      </c>
      <c r="D13" s="130">
        <v>19</v>
      </c>
      <c r="E13" s="130">
        <v>18</v>
      </c>
      <c r="F13" s="130">
        <v>12</v>
      </c>
      <c r="G13" s="130">
        <v>24</v>
      </c>
      <c r="H13" s="76"/>
      <c r="I13" s="76"/>
      <c r="J13" s="76"/>
      <c r="K13" s="76"/>
      <c r="L13" s="76"/>
      <c r="M13" s="76"/>
      <c r="N13" s="76"/>
      <c r="O13" s="76"/>
      <c r="P13" s="77">
        <v>73</v>
      </c>
    </row>
    <row r="14" spans="1:16">
      <c r="A14" s="25" t="s">
        <v>2</v>
      </c>
      <c r="B14" s="133" t="s">
        <v>1393</v>
      </c>
      <c r="C14" s="134" t="s">
        <v>1395</v>
      </c>
      <c r="D14" s="130">
        <v>111</v>
      </c>
      <c r="E14" s="130">
        <v>115</v>
      </c>
      <c r="F14" s="130">
        <v>114</v>
      </c>
      <c r="G14" s="130">
        <v>132</v>
      </c>
      <c r="H14" s="76"/>
      <c r="I14" s="76"/>
      <c r="J14" s="76"/>
      <c r="K14" s="76"/>
      <c r="L14" s="76"/>
      <c r="M14" s="76"/>
      <c r="N14" s="76"/>
      <c r="O14" s="76"/>
      <c r="P14" s="77">
        <v>472</v>
      </c>
    </row>
    <row r="15" spans="1:16" ht="29">
      <c r="A15" s="25" t="s">
        <v>2</v>
      </c>
      <c r="B15" s="133" t="s">
        <v>1396</v>
      </c>
      <c r="C15" s="134" t="s">
        <v>1397</v>
      </c>
      <c r="D15" s="130"/>
      <c r="E15" s="130">
        <v>1</v>
      </c>
      <c r="F15" s="130">
        <v>1</v>
      </c>
      <c r="G15" s="130">
        <v>2</v>
      </c>
      <c r="H15" s="76"/>
      <c r="I15" s="76"/>
      <c r="J15" s="76"/>
      <c r="K15" s="76"/>
      <c r="L15" s="76"/>
      <c r="M15" s="76"/>
      <c r="N15" s="76"/>
      <c r="O15" s="76"/>
      <c r="P15" s="77">
        <v>4</v>
      </c>
    </row>
    <row r="16" spans="1:16">
      <c r="A16" s="25" t="s">
        <v>2</v>
      </c>
      <c r="B16" s="133" t="s">
        <v>1398</v>
      </c>
      <c r="C16" s="134" t="s">
        <v>1399</v>
      </c>
      <c r="D16" s="135">
        <v>22</v>
      </c>
      <c r="E16" s="135">
        <v>22</v>
      </c>
      <c r="F16" s="135">
        <v>22</v>
      </c>
      <c r="G16" s="135">
        <v>22</v>
      </c>
      <c r="H16" s="76"/>
      <c r="I16" s="76"/>
      <c r="J16" s="76"/>
      <c r="K16" s="76"/>
      <c r="L16" s="76"/>
      <c r="M16" s="76"/>
      <c r="N16" s="76"/>
      <c r="O16" s="76"/>
      <c r="P16" s="77">
        <v>88</v>
      </c>
    </row>
    <row r="17" spans="1:17" ht="29">
      <c r="A17" s="25" t="s">
        <v>2</v>
      </c>
      <c r="B17" s="133" t="s">
        <v>1400</v>
      </c>
      <c r="C17" s="134" t="s">
        <v>1401</v>
      </c>
      <c r="D17" s="130">
        <v>1</v>
      </c>
      <c r="E17" s="130">
        <v>1</v>
      </c>
      <c r="F17" s="130">
        <v>1</v>
      </c>
      <c r="G17" s="130">
        <v>1</v>
      </c>
      <c r="H17" s="76"/>
      <c r="I17" s="76"/>
      <c r="J17" s="76"/>
      <c r="K17" s="76"/>
      <c r="L17" s="76"/>
      <c r="M17" s="76"/>
      <c r="N17" s="76"/>
      <c r="O17" s="76"/>
      <c r="P17" s="77">
        <v>4</v>
      </c>
    </row>
    <row r="18" spans="1:17" ht="29">
      <c r="A18" s="25" t="s">
        <v>2</v>
      </c>
      <c r="B18" s="133" t="s">
        <v>1339</v>
      </c>
      <c r="C18" s="136" t="s">
        <v>1286</v>
      </c>
      <c r="D18" s="130">
        <v>74</v>
      </c>
      <c r="E18" s="130">
        <v>86</v>
      </c>
      <c r="F18" s="130">
        <v>105</v>
      </c>
      <c r="G18" s="130">
        <v>77</v>
      </c>
      <c r="H18" s="76"/>
      <c r="I18" s="76"/>
      <c r="J18" s="76"/>
      <c r="K18" s="76"/>
      <c r="L18" s="76"/>
      <c r="M18" s="76"/>
      <c r="N18" s="76"/>
      <c r="O18" s="76"/>
      <c r="P18" s="77">
        <v>342</v>
      </c>
    </row>
    <row r="19" spans="1:17">
      <c r="A19" s="25" t="s">
        <v>2</v>
      </c>
      <c r="B19" s="133" t="s">
        <v>1402</v>
      </c>
      <c r="C19" s="136" t="s">
        <v>1403</v>
      </c>
      <c r="D19" s="130"/>
      <c r="E19" s="130"/>
      <c r="F19" s="130">
        <v>2</v>
      </c>
      <c r="G19" s="130">
        <v>1</v>
      </c>
      <c r="H19" s="76"/>
      <c r="I19" s="76"/>
      <c r="J19" s="76"/>
      <c r="K19" s="76"/>
      <c r="L19" s="76"/>
      <c r="M19" s="76"/>
      <c r="N19" s="76"/>
      <c r="O19" s="76"/>
      <c r="P19" s="77">
        <v>3</v>
      </c>
    </row>
    <row r="20" spans="1:17">
      <c r="A20" s="25" t="s">
        <v>2</v>
      </c>
      <c r="B20" s="133" t="s">
        <v>1404</v>
      </c>
      <c r="C20" s="136" t="s">
        <v>1403</v>
      </c>
      <c r="D20" s="130"/>
      <c r="E20" s="130">
        <v>1</v>
      </c>
      <c r="F20" s="130"/>
      <c r="G20" s="130">
        <v>1</v>
      </c>
      <c r="H20" s="76"/>
      <c r="I20" s="76"/>
      <c r="J20" s="76"/>
      <c r="K20" s="76"/>
      <c r="L20" s="76"/>
      <c r="M20" s="76"/>
      <c r="N20" s="76"/>
      <c r="O20" s="76"/>
      <c r="P20" s="77">
        <v>2</v>
      </c>
    </row>
    <row r="21" spans="1:17">
      <c r="A21" s="25" t="s">
        <v>2</v>
      </c>
      <c r="B21" s="133" t="s">
        <v>1405</v>
      </c>
      <c r="C21" s="136" t="s">
        <v>1403</v>
      </c>
      <c r="D21" s="130">
        <v>1</v>
      </c>
      <c r="E21" s="130">
        <v>1</v>
      </c>
      <c r="F21" s="130"/>
      <c r="G21" s="130">
        <v>1</v>
      </c>
      <c r="H21" s="76"/>
      <c r="I21" s="76"/>
      <c r="J21" s="76"/>
      <c r="K21" s="76"/>
      <c r="L21" s="76"/>
      <c r="M21" s="76"/>
      <c r="N21" s="76"/>
      <c r="O21" s="76"/>
      <c r="P21" s="77">
        <v>3</v>
      </c>
    </row>
    <row r="22" spans="1:17">
      <c r="A22" s="25" t="s">
        <v>2</v>
      </c>
      <c r="B22" s="133" t="s">
        <v>1406</v>
      </c>
      <c r="C22" s="136" t="s">
        <v>1403</v>
      </c>
      <c r="D22" s="130"/>
      <c r="E22" s="130"/>
      <c r="F22" s="130"/>
      <c r="G22" s="130">
        <v>1</v>
      </c>
      <c r="H22" s="76"/>
      <c r="I22" s="76"/>
      <c r="J22" s="76"/>
      <c r="K22" s="76"/>
      <c r="L22" s="76"/>
      <c r="M22" s="76"/>
      <c r="N22" s="76"/>
      <c r="O22" s="76"/>
      <c r="P22" s="77">
        <v>1</v>
      </c>
    </row>
    <row r="23" spans="1:17">
      <c r="A23" s="25" t="s">
        <v>2</v>
      </c>
      <c r="B23" s="133" t="s">
        <v>1407</v>
      </c>
      <c r="C23" s="136" t="s">
        <v>1403</v>
      </c>
      <c r="D23" s="130">
        <v>2</v>
      </c>
      <c r="E23" s="130">
        <v>1</v>
      </c>
      <c r="F23" s="130"/>
      <c r="G23" s="130"/>
      <c r="H23" s="76"/>
      <c r="I23" s="76"/>
      <c r="J23" s="76"/>
      <c r="K23" s="76"/>
      <c r="L23" s="76"/>
      <c r="M23" s="76"/>
      <c r="N23" s="76"/>
      <c r="O23" s="76"/>
      <c r="P23" s="77">
        <v>3</v>
      </c>
    </row>
    <row r="24" spans="1:17">
      <c r="A24" s="25" t="s">
        <v>2</v>
      </c>
      <c r="B24" s="133" t="s">
        <v>1408</v>
      </c>
      <c r="C24" s="136" t="s">
        <v>1403</v>
      </c>
      <c r="D24" s="130"/>
      <c r="E24" s="130">
        <v>1</v>
      </c>
      <c r="F24" s="130"/>
      <c r="G24" s="130"/>
      <c r="H24" s="76"/>
      <c r="I24" s="76"/>
      <c r="J24" s="76"/>
      <c r="K24" s="76"/>
      <c r="L24" s="76"/>
      <c r="M24" s="76"/>
      <c r="N24" s="76"/>
      <c r="O24" s="76"/>
      <c r="P24" s="77">
        <v>1</v>
      </c>
    </row>
    <row r="25" spans="1:17" ht="29">
      <c r="A25" s="25" t="s">
        <v>2</v>
      </c>
      <c r="B25" s="133" t="s">
        <v>1409</v>
      </c>
      <c r="C25" s="136" t="s">
        <v>1410</v>
      </c>
      <c r="D25" s="130"/>
      <c r="E25" s="130">
        <v>7</v>
      </c>
      <c r="F25" s="130">
        <v>13</v>
      </c>
      <c r="G25" s="130">
        <v>21</v>
      </c>
      <c r="H25" s="76"/>
      <c r="I25" s="76"/>
      <c r="J25" s="76"/>
      <c r="K25" s="76"/>
      <c r="L25" s="76"/>
      <c r="M25" s="76"/>
      <c r="N25" s="76"/>
      <c r="O25" s="76"/>
      <c r="P25" s="77">
        <v>41</v>
      </c>
    </row>
    <row r="26" spans="1:17">
      <c r="A26" s="25" t="s">
        <v>2</v>
      </c>
      <c r="B26" s="133" t="s">
        <v>1411</v>
      </c>
      <c r="C26" s="136" t="s">
        <v>1412</v>
      </c>
      <c r="D26" s="130">
        <v>1</v>
      </c>
      <c r="E26" s="130">
        <v>1</v>
      </c>
      <c r="F26" s="130">
        <v>1</v>
      </c>
      <c r="G26" s="130">
        <v>1</v>
      </c>
      <c r="H26" s="76"/>
      <c r="I26" s="76"/>
      <c r="J26" s="76"/>
      <c r="K26" s="76"/>
      <c r="L26" s="76"/>
      <c r="M26" s="76"/>
      <c r="N26" s="76"/>
      <c r="O26" s="76"/>
      <c r="P26" s="77">
        <v>4</v>
      </c>
    </row>
    <row r="27" spans="1:17" ht="43.5">
      <c r="A27" s="25" t="s">
        <v>1</v>
      </c>
      <c r="B27" s="74" t="s">
        <v>1325</v>
      </c>
      <c r="C27" s="75" t="s">
        <v>1326</v>
      </c>
      <c r="D27" s="25">
        <v>23</v>
      </c>
      <c r="E27" s="25">
        <v>25</v>
      </c>
      <c r="F27" s="25">
        <v>75</v>
      </c>
      <c r="G27" s="26">
        <v>40</v>
      </c>
      <c r="H27" s="76"/>
      <c r="I27" s="76"/>
      <c r="J27" s="76"/>
      <c r="K27" s="76"/>
      <c r="L27" s="76"/>
      <c r="M27" s="76"/>
      <c r="N27" s="76"/>
      <c r="O27" s="76"/>
      <c r="P27" s="77">
        <v>163</v>
      </c>
      <c r="Q27" s="38" t="s">
        <v>1337</v>
      </c>
    </row>
    <row r="28" spans="1:17" ht="43.5">
      <c r="A28" s="25" t="s">
        <v>1</v>
      </c>
      <c r="B28" s="74" t="s">
        <v>1284</v>
      </c>
      <c r="C28" s="75" t="s">
        <v>1324</v>
      </c>
      <c r="D28" s="25">
        <v>346</v>
      </c>
      <c r="E28" s="25">
        <v>360</v>
      </c>
      <c r="F28" s="25">
        <v>385</v>
      </c>
      <c r="G28" s="26">
        <v>407</v>
      </c>
      <c r="H28" s="76"/>
      <c r="I28" s="76"/>
      <c r="J28" s="76"/>
      <c r="K28" s="76"/>
      <c r="L28" s="76"/>
      <c r="M28" s="76"/>
      <c r="N28" s="76"/>
      <c r="O28" s="76"/>
      <c r="P28" s="77">
        <v>1498</v>
      </c>
      <c r="Q28" s="38" t="s">
        <v>1338</v>
      </c>
    </row>
    <row r="29" spans="1:17" ht="29">
      <c r="A29" s="25" t="s">
        <v>1</v>
      </c>
      <c r="B29" s="74" t="s">
        <v>1285</v>
      </c>
      <c r="C29" s="75" t="s">
        <v>1286</v>
      </c>
      <c r="D29" s="25">
        <v>3</v>
      </c>
      <c r="E29" s="25">
        <v>1</v>
      </c>
      <c r="F29" s="25">
        <v>2</v>
      </c>
      <c r="G29" s="26">
        <v>2</v>
      </c>
      <c r="H29" s="76"/>
      <c r="I29" s="76"/>
      <c r="J29" s="76"/>
      <c r="K29" s="76"/>
      <c r="L29" s="76"/>
      <c r="M29" s="76"/>
      <c r="N29" s="76"/>
      <c r="O29" s="76"/>
      <c r="P29" s="77">
        <v>8</v>
      </c>
      <c r="Q29" s="38" t="s">
        <v>1339</v>
      </c>
    </row>
    <row r="30" spans="1:17">
      <c r="A30" s="25" t="s">
        <v>1</v>
      </c>
      <c r="B30" s="74" t="s">
        <v>1287</v>
      </c>
      <c r="C30" s="75" t="s">
        <v>1288</v>
      </c>
      <c r="D30" s="25">
        <v>1</v>
      </c>
      <c r="E30" s="25">
        <v>12</v>
      </c>
      <c r="F30" s="25"/>
      <c r="G30" s="26">
        <v>1</v>
      </c>
      <c r="H30" s="76"/>
      <c r="I30" s="76"/>
      <c r="J30" s="76"/>
      <c r="K30" s="76"/>
      <c r="L30" s="76"/>
      <c r="M30" s="76"/>
      <c r="N30" s="76"/>
      <c r="O30" s="76"/>
      <c r="P30" s="77">
        <v>14</v>
      </c>
      <c r="Q30" s="38" t="s">
        <v>1340</v>
      </c>
    </row>
    <row r="31" spans="1:17" ht="43.5">
      <c r="A31" s="25" t="s">
        <v>1</v>
      </c>
      <c r="B31" s="74" t="s">
        <v>1327</v>
      </c>
      <c r="C31" s="75" t="s">
        <v>1328</v>
      </c>
      <c r="D31" s="26">
        <v>10</v>
      </c>
      <c r="E31" s="25">
        <v>16</v>
      </c>
      <c r="F31" s="25">
        <v>17</v>
      </c>
      <c r="G31" s="25">
        <v>16</v>
      </c>
      <c r="H31" s="76"/>
      <c r="I31" s="76"/>
      <c r="J31" s="76"/>
      <c r="K31" s="76"/>
      <c r="L31" s="76"/>
      <c r="M31" s="76"/>
      <c r="N31" s="76"/>
      <c r="O31" s="76"/>
      <c r="P31" s="77">
        <v>59</v>
      </c>
      <c r="Q31" s="38" t="s">
        <v>1341</v>
      </c>
    </row>
    <row r="32" spans="1:17" ht="29">
      <c r="A32" s="25" t="s">
        <v>1</v>
      </c>
      <c r="B32" s="74" t="s">
        <v>1329</v>
      </c>
      <c r="C32" s="75" t="s">
        <v>1330</v>
      </c>
      <c r="D32" s="26">
        <v>1</v>
      </c>
      <c r="E32" s="25">
        <v>4</v>
      </c>
      <c r="F32" s="25">
        <v>2</v>
      </c>
      <c r="G32" s="25">
        <v>3</v>
      </c>
      <c r="H32" s="76"/>
      <c r="I32" s="76"/>
      <c r="J32" s="76"/>
      <c r="K32" s="76"/>
      <c r="L32" s="76"/>
      <c r="M32" s="76"/>
      <c r="N32" s="76"/>
      <c r="O32" s="76"/>
      <c r="P32" s="77">
        <v>10</v>
      </c>
      <c r="Q32" s="38" t="s">
        <v>1342</v>
      </c>
    </row>
    <row r="33" spans="1:17" ht="43.5">
      <c r="A33" s="25" t="s">
        <v>1</v>
      </c>
      <c r="B33" s="74" t="s">
        <v>1289</v>
      </c>
      <c r="C33" s="75" t="s">
        <v>1324</v>
      </c>
      <c r="D33" s="28">
        <v>19</v>
      </c>
      <c r="E33" s="25">
        <v>16</v>
      </c>
      <c r="F33" s="25">
        <v>17</v>
      </c>
      <c r="G33" s="25">
        <v>10</v>
      </c>
      <c r="H33" s="76"/>
      <c r="I33" s="76"/>
      <c r="J33" s="76"/>
      <c r="K33" s="76"/>
      <c r="L33" s="76"/>
      <c r="M33" s="76"/>
      <c r="N33" s="76"/>
      <c r="O33" s="76"/>
      <c r="P33" s="77">
        <v>62</v>
      </c>
      <c r="Q33" s="38" t="s">
        <v>1338</v>
      </c>
    </row>
    <row r="34" spans="1:17" ht="43.5">
      <c r="A34" s="25" t="s">
        <v>1</v>
      </c>
      <c r="B34" s="74" t="s">
        <v>1290</v>
      </c>
      <c r="C34" s="75" t="s">
        <v>1324</v>
      </c>
      <c r="D34" s="28">
        <v>16</v>
      </c>
      <c r="E34" s="25">
        <v>15</v>
      </c>
      <c r="F34" s="25">
        <v>17</v>
      </c>
      <c r="G34" s="25">
        <v>19</v>
      </c>
      <c r="H34" s="76"/>
      <c r="I34" s="76"/>
      <c r="J34" s="76"/>
      <c r="K34" s="76"/>
      <c r="L34" s="76"/>
      <c r="M34" s="76"/>
      <c r="N34" s="76"/>
      <c r="O34" s="76"/>
      <c r="P34" s="77">
        <v>67</v>
      </c>
      <c r="Q34" s="38" t="s">
        <v>1338</v>
      </c>
    </row>
    <row r="35" spans="1:17" ht="43.5">
      <c r="A35" s="25" t="s">
        <v>4</v>
      </c>
      <c r="B35" s="74" t="s">
        <v>1327</v>
      </c>
      <c r="C35" s="75" t="s">
        <v>1328</v>
      </c>
      <c r="D35" s="26">
        <v>10</v>
      </c>
      <c r="E35" s="25">
        <v>16</v>
      </c>
      <c r="F35" s="25">
        <v>17</v>
      </c>
      <c r="G35" s="25">
        <v>16</v>
      </c>
      <c r="H35" s="76"/>
      <c r="I35" s="76"/>
      <c r="J35" s="76"/>
      <c r="K35" s="76"/>
      <c r="L35" s="76"/>
      <c r="M35" s="76"/>
      <c r="N35" s="76"/>
      <c r="O35" s="76"/>
      <c r="P35" s="77">
        <v>59</v>
      </c>
      <c r="Q35" s="38" t="s">
        <v>1341</v>
      </c>
    </row>
    <row r="36" spans="1:17" ht="29">
      <c r="A36" s="25" t="s">
        <v>4</v>
      </c>
      <c r="B36" s="74" t="s">
        <v>1329</v>
      </c>
      <c r="C36" s="75" t="s">
        <v>1330</v>
      </c>
      <c r="D36" s="26">
        <v>1</v>
      </c>
      <c r="E36" s="25">
        <v>4</v>
      </c>
      <c r="F36" s="25">
        <v>2</v>
      </c>
      <c r="G36" s="25">
        <v>3</v>
      </c>
      <c r="H36" s="76"/>
      <c r="I36" s="76"/>
      <c r="J36" s="76"/>
      <c r="K36" s="76"/>
      <c r="L36" s="76"/>
      <c r="M36" s="76"/>
      <c r="N36" s="76"/>
      <c r="O36" s="76"/>
      <c r="P36" s="77">
        <v>10</v>
      </c>
      <c r="Q36" s="38" t="s">
        <v>1342</v>
      </c>
    </row>
    <row r="37" spans="1:17" ht="43.5">
      <c r="A37" s="25" t="s">
        <v>4</v>
      </c>
      <c r="B37" s="74" t="s">
        <v>1289</v>
      </c>
      <c r="C37" s="75" t="s">
        <v>1324</v>
      </c>
      <c r="D37" s="28">
        <v>19</v>
      </c>
      <c r="E37" s="25">
        <v>16</v>
      </c>
      <c r="F37" s="25">
        <v>17</v>
      </c>
      <c r="G37" s="25">
        <v>10</v>
      </c>
      <c r="H37" s="76"/>
      <c r="I37" s="76"/>
      <c r="J37" s="76"/>
      <c r="K37" s="76"/>
      <c r="L37" s="76"/>
      <c r="M37" s="76"/>
      <c r="N37" s="76"/>
      <c r="O37" s="76"/>
      <c r="P37" s="77">
        <v>62</v>
      </c>
      <c r="Q37" s="38" t="s">
        <v>1338</v>
      </c>
    </row>
    <row r="38" spans="1:17" ht="43.5">
      <c r="A38" s="25" t="s">
        <v>4</v>
      </c>
      <c r="B38" s="74" t="s">
        <v>1290</v>
      </c>
      <c r="C38" s="75" t="s">
        <v>1324</v>
      </c>
      <c r="D38" s="28">
        <v>16</v>
      </c>
      <c r="E38" s="25">
        <v>15</v>
      </c>
      <c r="F38" s="25">
        <v>17</v>
      </c>
      <c r="G38" s="25">
        <v>19</v>
      </c>
      <c r="H38" s="76"/>
      <c r="I38" s="76"/>
      <c r="J38" s="76"/>
      <c r="K38" s="76"/>
      <c r="L38" s="76"/>
      <c r="M38" s="76"/>
      <c r="N38" s="76"/>
      <c r="O38" s="76"/>
      <c r="P38" s="77">
        <v>67</v>
      </c>
      <c r="Q38" s="38" t="s">
        <v>1338</v>
      </c>
    </row>
    <row r="39" spans="1:17" ht="43.5">
      <c r="A39" s="25" t="s">
        <v>4</v>
      </c>
      <c r="B39" s="74" t="s">
        <v>1325</v>
      </c>
      <c r="C39" s="75" t="s">
        <v>1326</v>
      </c>
      <c r="D39" s="25">
        <v>23</v>
      </c>
      <c r="E39" s="25">
        <v>25</v>
      </c>
      <c r="F39" s="25">
        <v>75</v>
      </c>
      <c r="G39" s="26">
        <v>40</v>
      </c>
      <c r="H39" s="76"/>
      <c r="I39" s="76"/>
      <c r="J39" s="76"/>
      <c r="K39" s="76"/>
      <c r="L39" s="76"/>
      <c r="M39" s="76"/>
      <c r="N39" s="76"/>
      <c r="O39" s="76"/>
      <c r="P39" s="77">
        <v>163</v>
      </c>
      <c r="Q39" s="38" t="s">
        <v>1337</v>
      </c>
    </row>
    <row r="40" spans="1:17" ht="43.5">
      <c r="A40" s="25" t="s">
        <v>4</v>
      </c>
      <c r="B40" s="74" t="s">
        <v>1284</v>
      </c>
      <c r="C40" s="75" t="s">
        <v>1324</v>
      </c>
      <c r="D40" s="25">
        <v>346</v>
      </c>
      <c r="E40" s="25">
        <v>360</v>
      </c>
      <c r="F40" s="25">
        <v>385</v>
      </c>
      <c r="G40" s="26">
        <v>407</v>
      </c>
      <c r="H40" s="76"/>
      <c r="I40" s="76"/>
      <c r="J40" s="76"/>
      <c r="K40" s="76"/>
      <c r="L40" s="76"/>
      <c r="M40" s="76"/>
      <c r="N40" s="76"/>
      <c r="O40" s="76"/>
      <c r="P40" s="77">
        <v>1498</v>
      </c>
      <c r="Q40" s="38" t="s">
        <v>1338</v>
      </c>
    </row>
    <row r="41" spans="1:17" ht="29">
      <c r="A41" s="25" t="s">
        <v>4</v>
      </c>
      <c r="B41" s="74" t="s">
        <v>1285</v>
      </c>
      <c r="C41" s="75" t="s">
        <v>1286</v>
      </c>
      <c r="D41" s="25">
        <v>3</v>
      </c>
      <c r="E41" s="25">
        <v>1</v>
      </c>
      <c r="F41" s="25">
        <v>2</v>
      </c>
      <c r="G41" s="26">
        <v>2</v>
      </c>
      <c r="H41" s="76"/>
      <c r="I41" s="76"/>
      <c r="J41" s="76"/>
      <c r="K41" s="76"/>
      <c r="L41" s="76"/>
      <c r="M41" s="76"/>
      <c r="N41" s="76"/>
      <c r="O41" s="76"/>
      <c r="P41" s="77">
        <v>8</v>
      </c>
      <c r="Q41" s="38" t="s">
        <v>1339</v>
      </c>
    </row>
    <row r="42" spans="1:17">
      <c r="A42" s="25" t="s">
        <v>4</v>
      </c>
      <c r="B42" s="74" t="s">
        <v>1287</v>
      </c>
      <c r="C42" s="75" t="s">
        <v>1288</v>
      </c>
      <c r="D42" s="25">
        <v>1</v>
      </c>
      <c r="E42" s="25">
        <v>12</v>
      </c>
      <c r="F42" s="25"/>
      <c r="G42" s="26">
        <v>1</v>
      </c>
      <c r="H42" s="76"/>
      <c r="I42" s="76"/>
      <c r="J42" s="76"/>
      <c r="K42" s="76"/>
      <c r="L42" s="76"/>
      <c r="M42" s="76"/>
      <c r="N42" s="76"/>
      <c r="O42" s="76"/>
      <c r="P42" s="77">
        <v>14</v>
      </c>
      <c r="Q42" s="38" t="s">
        <v>1340</v>
      </c>
    </row>
    <row r="43" spans="1:17" ht="43.5">
      <c r="A43" s="25" t="s">
        <v>4</v>
      </c>
      <c r="B43" s="74" t="s">
        <v>1327</v>
      </c>
      <c r="C43" s="75" t="s">
        <v>1328</v>
      </c>
      <c r="D43" s="26">
        <v>10</v>
      </c>
      <c r="E43" s="25">
        <v>16</v>
      </c>
      <c r="F43" s="25">
        <v>17</v>
      </c>
      <c r="G43" s="25">
        <v>16</v>
      </c>
      <c r="H43" s="76"/>
      <c r="I43" s="76"/>
      <c r="J43" s="76"/>
      <c r="K43" s="76"/>
      <c r="L43" s="76"/>
      <c r="M43" s="76"/>
      <c r="N43" s="76"/>
      <c r="O43" s="76"/>
      <c r="P43" s="77">
        <v>59</v>
      </c>
      <c r="Q43" s="38" t="s">
        <v>1341</v>
      </c>
    </row>
    <row r="44" spans="1:17" ht="29">
      <c r="A44" s="25" t="s">
        <v>4</v>
      </c>
      <c r="B44" s="74" t="s">
        <v>1329</v>
      </c>
      <c r="C44" s="75" t="s">
        <v>1330</v>
      </c>
      <c r="D44" s="26">
        <v>1</v>
      </c>
      <c r="E44" s="25">
        <v>4</v>
      </c>
      <c r="F44" s="25">
        <v>2</v>
      </c>
      <c r="G44" s="25">
        <v>3</v>
      </c>
      <c r="H44" s="76"/>
      <c r="I44" s="76"/>
      <c r="J44" s="76"/>
      <c r="K44" s="76"/>
      <c r="L44" s="76"/>
      <c r="M44" s="76"/>
      <c r="N44" s="76"/>
      <c r="O44" s="76"/>
      <c r="P44" s="77">
        <v>10</v>
      </c>
      <c r="Q44" s="38" t="s">
        <v>1342</v>
      </c>
    </row>
    <row r="45" spans="1:17" ht="29">
      <c r="A45" s="25" t="s">
        <v>3</v>
      </c>
      <c r="B45" s="74" t="s">
        <v>1329</v>
      </c>
      <c r="C45" s="75" t="s">
        <v>1330</v>
      </c>
      <c r="D45" s="26">
        <v>1</v>
      </c>
      <c r="E45" s="25">
        <v>4</v>
      </c>
      <c r="F45" s="25">
        <v>2</v>
      </c>
      <c r="G45" s="25">
        <v>3</v>
      </c>
      <c r="H45" s="76"/>
      <c r="I45" s="76"/>
      <c r="J45" s="76"/>
      <c r="K45" s="76"/>
      <c r="L45" s="76"/>
      <c r="M45" s="76"/>
      <c r="N45" s="76"/>
      <c r="O45" s="76"/>
      <c r="P45" s="77">
        <v>10</v>
      </c>
      <c r="Q45" s="38" t="s">
        <v>1342</v>
      </c>
    </row>
    <row r="46" spans="1:17" ht="43.5">
      <c r="A46" s="25" t="s">
        <v>3</v>
      </c>
      <c r="B46" s="74" t="s">
        <v>1289</v>
      </c>
      <c r="C46" s="75" t="s">
        <v>1324</v>
      </c>
      <c r="D46" s="28">
        <v>19</v>
      </c>
      <c r="E46" s="25">
        <v>16</v>
      </c>
      <c r="F46" s="25">
        <v>17</v>
      </c>
      <c r="G46" s="25">
        <v>10</v>
      </c>
      <c r="H46" s="76"/>
      <c r="I46" s="76"/>
      <c r="J46" s="76"/>
      <c r="K46" s="76"/>
      <c r="L46" s="76"/>
      <c r="M46" s="76"/>
      <c r="N46" s="76"/>
      <c r="O46" s="76"/>
      <c r="P46" s="77">
        <v>62</v>
      </c>
      <c r="Q46" s="38" t="s">
        <v>1338</v>
      </c>
    </row>
    <row r="47" spans="1:17" ht="43.5">
      <c r="A47" s="25" t="s">
        <v>3</v>
      </c>
      <c r="B47" s="74" t="s">
        <v>1290</v>
      </c>
      <c r="C47" s="75" t="s">
        <v>1324</v>
      </c>
      <c r="D47" s="28">
        <v>16</v>
      </c>
      <c r="E47" s="25">
        <v>15</v>
      </c>
      <c r="F47" s="25">
        <v>17</v>
      </c>
      <c r="G47" s="25">
        <v>19</v>
      </c>
      <c r="H47" s="76"/>
      <c r="I47" s="76"/>
      <c r="J47" s="76"/>
      <c r="K47" s="76"/>
      <c r="L47" s="76"/>
      <c r="M47" s="76"/>
      <c r="N47" s="76"/>
      <c r="O47" s="76"/>
      <c r="P47" s="77">
        <v>67</v>
      </c>
      <c r="Q47" s="38" t="s">
        <v>1338</v>
      </c>
    </row>
    <row r="48" spans="1:17" ht="43.5">
      <c r="A48" s="25" t="s">
        <v>3</v>
      </c>
      <c r="B48" s="74" t="s">
        <v>1325</v>
      </c>
      <c r="C48" s="75" t="s">
        <v>1326</v>
      </c>
      <c r="D48" s="25">
        <v>23</v>
      </c>
      <c r="E48" s="25">
        <v>25</v>
      </c>
      <c r="F48" s="25">
        <v>75</v>
      </c>
      <c r="G48" s="26">
        <v>40</v>
      </c>
      <c r="H48" s="76"/>
      <c r="I48" s="76"/>
      <c r="J48" s="76"/>
      <c r="K48" s="76"/>
      <c r="L48" s="76"/>
      <c r="M48" s="76"/>
      <c r="N48" s="76"/>
      <c r="O48" s="76"/>
      <c r="P48" s="77">
        <v>163</v>
      </c>
      <c r="Q48" s="38" t="s">
        <v>1337</v>
      </c>
    </row>
    <row r="49" spans="1:17" ht="43.5">
      <c r="A49" s="25" t="s">
        <v>3</v>
      </c>
      <c r="B49" s="74" t="s">
        <v>1284</v>
      </c>
      <c r="C49" s="75" t="s">
        <v>1324</v>
      </c>
      <c r="D49" s="25">
        <v>346</v>
      </c>
      <c r="E49" s="25">
        <v>360</v>
      </c>
      <c r="F49" s="25">
        <v>385</v>
      </c>
      <c r="G49" s="26">
        <v>407</v>
      </c>
      <c r="H49" s="76"/>
      <c r="I49" s="76"/>
      <c r="J49" s="76"/>
      <c r="K49" s="76"/>
      <c r="L49" s="76"/>
      <c r="M49" s="76"/>
      <c r="N49" s="76"/>
      <c r="O49" s="76"/>
      <c r="P49" s="77">
        <v>1498</v>
      </c>
      <c r="Q49" s="38" t="s">
        <v>1338</v>
      </c>
    </row>
    <row r="50" spans="1:17" ht="29">
      <c r="A50" s="25" t="s">
        <v>3</v>
      </c>
      <c r="B50" s="74" t="s">
        <v>1285</v>
      </c>
      <c r="C50" s="75" t="s">
        <v>1286</v>
      </c>
      <c r="D50" s="25">
        <v>3</v>
      </c>
      <c r="E50" s="25">
        <v>1</v>
      </c>
      <c r="F50" s="25">
        <v>2</v>
      </c>
      <c r="G50" s="26">
        <v>2</v>
      </c>
      <c r="H50" s="76"/>
      <c r="I50" s="76"/>
      <c r="J50" s="76"/>
      <c r="K50" s="76"/>
      <c r="L50" s="76"/>
      <c r="M50" s="76"/>
      <c r="N50" s="76"/>
      <c r="O50" s="76"/>
      <c r="P50" s="77">
        <v>8</v>
      </c>
      <c r="Q50" s="38" t="s">
        <v>1339</v>
      </c>
    </row>
    <row r="51" spans="1:17">
      <c r="A51" s="25" t="s">
        <v>3</v>
      </c>
      <c r="B51" s="74" t="s">
        <v>1287</v>
      </c>
      <c r="C51" s="75" t="s">
        <v>1288</v>
      </c>
      <c r="D51" s="25">
        <v>1</v>
      </c>
      <c r="E51" s="25">
        <v>12</v>
      </c>
      <c r="F51" s="25"/>
      <c r="G51" s="26">
        <v>1</v>
      </c>
      <c r="H51" s="76"/>
      <c r="I51" s="76"/>
      <c r="J51" s="76"/>
      <c r="K51" s="76"/>
      <c r="L51" s="76"/>
      <c r="M51" s="76"/>
      <c r="N51" s="76"/>
      <c r="O51" s="76"/>
      <c r="P51" s="77">
        <v>14</v>
      </c>
      <c r="Q51" s="38" t="s">
        <v>1340</v>
      </c>
    </row>
  </sheetData>
  <conditionalFormatting sqref="B3:B26">
    <cfRule type="duplicateValues" dxfId="63" priority="20"/>
  </conditionalFormatting>
  <conditionalFormatting sqref="B11 B13:B14">
    <cfRule type="duplicateValues" dxfId="62" priority="35"/>
  </conditionalFormatting>
  <conditionalFormatting sqref="B12">
    <cfRule type="duplicateValues" dxfId="61" priority="34"/>
  </conditionalFormatting>
  <conditionalFormatting sqref="B15">
    <cfRule type="duplicateValues" dxfId="60" priority="32"/>
    <cfRule type="duplicateValues" dxfId="59" priority="33"/>
  </conditionalFormatting>
  <conditionalFormatting sqref="B16">
    <cfRule type="duplicateValues" dxfId="58" priority="30"/>
    <cfRule type="duplicateValues" dxfId="57" priority="31"/>
  </conditionalFormatting>
  <conditionalFormatting sqref="B18">
    <cfRule type="duplicateValues" dxfId="55" priority="27"/>
    <cfRule type="duplicateValues" dxfId="54" priority="28"/>
    <cfRule type="duplicateValues" dxfId="56" priority="29"/>
  </conditionalFormatting>
  <conditionalFormatting sqref="B19:B24 B3:B17">
    <cfRule type="duplicateValues" dxfId="53" priority="37"/>
  </conditionalFormatting>
  <conditionalFormatting sqref="B19:B24 B11 B17 B13:B14">
    <cfRule type="duplicateValues" dxfId="52" priority="36"/>
  </conditionalFormatting>
  <conditionalFormatting sqref="B25">
    <cfRule type="duplicateValues" dxfId="51" priority="24"/>
    <cfRule type="duplicateValues" dxfId="50" priority="25"/>
    <cfRule type="duplicateValues" dxfId="49" priority="26"/>
  </conditionalFormatting>
  <conditionalFormatting sqref="B26">
    <cfRule type="duplicateValues" dxfId="48" priority="21"/>
    <cfRule type="duplicateValues" dxfId="47" priority="22"/>
    <cfRule type="duplicateValues" dxfId="46" priority="23"/>
  </conditionalFormatting>
  <conditionalFormatting sqref="B27">
    <cfRule type="duplicateValues" dxfId="36" priority="16"/>
  </conditionalFormatting>
  <conditionalFormatting sqref="B28:B30">
    <cfRule type="duplicateValues" dxfId="35" priority="18"/>
  </conditionalFormatting>
  <conditionalFormatting sqref="B31">
    <cfRule type="duplicateValues" dxfId="34" priority="15"/>
  </conditionalFormatting>
  <conditionalFormatting sqref="B32">
    <cfRule type="duplicateValues" dxfId="33" priority="14"/>
  </conditionalFormatting>
  <conditionalFormatting sqref="B33:B34">
    <cfRule type="duplicateValues" dxfId="32" priority="17"/>
  </conditionalFormatting>
  <conditionalFormatting sqref="C27:C34">
    <cfRule type="duplicateValues" dxfId="31" priority="19"/>
  </conditionalFormatting>
  <conditionalFormatting sqref="B35">
    <cfRule type="duplicateValues" dxfId="21" priority="6"/>
  </conditionalFormatting>
  <conditionalFormatting sqref="B36">
    <cfRule type="duplicateValues" dxfId="20" priority="9"/>
  </conditionalFormatting>
  <conditionalFormatting sqref="B37:B38">
    <cfRule type="duplicateValues" dxfId="19" priority="12"/>
  </conditionalFormatting>
  <conditionalFormatting sqref="B39">
    <cfRule type="duplicateValues" dxfId="18" priority="10"/>
  </conditionalFormatting>
  <conditionalFormatting sqref="B40:B42">
    <cfRule type="duplicateValues" dxfId="17" priority="11"/>
  </conditionalFormatting>
  <conditionalFormatting sqref="B43">
    <cfRule type="duplicateValues" dxfId="16" priority="7"/>
  </conditionalFormatting>
  <conditionalFormatting sqref="B44">
    <cfRule type="duplicateValues" dxfId="15" priority="8"/>
  </conditionalFormatting>
  <conditionalFormatting sqref="C35:C44">
    <cfRule type="duplicateValues" dxfId="14" priority="13"/>
  </conditionalFormatting>
  <conditionalFormatting sqref="B45">
    <cfRule type="duplicateValues" dxfId="4" priority="2"/>
  </conditionalFormatting>
  <conditionalFormatting sqref="B46:B47">
    <cfRule type="duplicateValues" dxfId="3" priority="4"/>
  </conditionalFormatting>
  <conditionalFormatting sqref="B48">
    <cfRule type="duplicateValues" dxfId="2" priority="1"/>
  </conditionalFormatting>
  <conditionalFormatting sqref="B49:B51">
    <cfRule type="duplicateValues" dxfId="1" priority="3"/>
  </conditionalFormatting>
  <conditionalFormatting sqref="C45:C51">
    <cfRule type="duplicateValues" dxfId="0" priority="5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72"/>
  <sheetViews>
    <sheetView zoomScale="85" zoomScaleNormal="85" workbookViewId="0">
      <pane xSplit="2" ySplit="2" topLeftCell="C25" activePane="bottomRight" state="frozen"/>
      <selection activeCell="I8" sqref="I8"/>
      <selection pane="topRight" activeCell="I8" sqref="I8"/>
      <selection pane="bottomLeft" activeCell="I8" sqref="I8"/>
      <selection pane="bottomRight" activeCell="A64" sqref="A64:Q72"/>
    </sheetView>
  </sheetViews>
  <sheetFormatPr defaultColWidth="8.7265625" defaultRowHeight="14.5"/>
  <cols>
    <col min="1" max="2" width="8.7265625" style="38"/>
    <col min="3" max="3" width="16" style="38" customWidth="1"/>
    <col min="4" max="4" width="40.54296875" style="38" bestFit="1" customWidth="1"/>
    <col min="5" max="16" width="8.1796875" style="38" customWidth="1"/>
    <col min="17" max="17" width="8.7265625" style="35"/>
    <col min="18" max="16384" width="8.7265625" style="38"/>
  </cols>
  <sheetData>
    <row r="1" spans="1:17" s="47" customFormat="1" ht="27" customHeight="1">
      <c r="A1" s="32" t="s">
        <v>1184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64"/>
    </row>
    <row r="2" spans="1:17" s="68" customFormat="1" ht="22" customHeight="1">
      <c r="A2" s="36" t="s">
        <v>5</v>
      </c>
      <c r="B2" s="65" t="s">
        <v>1214</v>
      </c>
      <c r="C2" s="65" t="s">
        <v>118</v>
      </c>
      <c r="D2" s="65" t="s">
        <v>1215</v>
      </c>
      <c r="E2" s="66" t="s">
        <v>7</v>
      </c>
      <c r="F2" s="66" t="s">
        <v>8</v>
      </c>
      <c r="G2" s="36" t="s">
        <v>12</v>
      </c>
      <c r="H2" s="36" t="s">
        <v>13</v>
      </c>
      <c r="I2" s="36" t="s">
        <v>109</v>
      </c>
      <c r="J2" s="36" t="s">
        <v>110</v>
      </c>
      <c r="K2" s="36" t="s">
        <v>111</v>
      </c>
      <c r="L2" s="36" t="s">
        <v>112</v>
      </c>
      <c r="M2" s="36" t="s">
        <v>113</v>
      </c>
      <c r="N2" s="36" t="s">
        <v>114</v>
      </c>
      <c r="O2" s="36" t="s">
        <v>115</v>
      </c>
      <c r="P2" s="36" t="s">
        <v>116</v>
      </c>
      <c r="Q2" s="67" t="s">
        <v>0</v>
      </c>
    </row>
    <row r="3" spans="1:17" ht="26.25" customHeight="1">
      <c r="A3" s="40" t="s">
        <v>2</v>
      </c>
      <c r="B3" s="131" t="s">
        <v>1413</v>
      </c>
      <c r="C3" s="130" t="s">
        <v>1295</v>
      </c>
      <c r="D3" s="132" t="s">
        <v>1414</v>
      </c>
      <c r="E3" s="130">
        <v>3</v>
      </c>
      <c r="F3" s="130">
        <v>2</v>
      </c>
      <c r="G3" s="130">
        <v>7</v>
      </c>
      <c r="H3" s="130">
        <v>13</v>
      </c>
      <c r="I3" s="71"/>
      <c r="J3" s="71"/>
      <c r="K3" s="71"/>
      <c r="L3" s="71"/>
      <c r="M3" s="71"/>
      <c r="N3" s="71"/>
      <c r="O3" s="71"/>
      <c r="P3" s="71"/>
      <c r="Q3" s="72">
        <v>25</v>
      </c>
    </row>
    <row r="4" spans="1:17" ht="26.25" customHeight="1">
      <c r="A4" s="40" t="s">
        <v>2</v>
      </c>
      <c r="B4" s="131" t="s">
        <v>1415</v>
      </c>
      <c r="C4" s="130" t="s">
        <v>1295</v>
      </c>
      <c r="D4" s="132" t="s">
        <v>1416</v>
      </c>
      <c r="E4" s="130">
        <v>6</v>
      </c>
      <c r="F4" s="130">
        <v>2</v>
      </c>
      <c r="G4" s="130">
        <v>1</v>
      </c>
      <c r="H4" s="130">
        <v>2</v>
      </c>
      <c r="I4" s="71"/>
      <c r="J4" s="71"/>
      <c r="K4" s="71"/>
      <c r="L4" s="71"/>
      <c r="M4" s="71"/>
      <c r="N4" s="71"/>
      <c r="O4" s="71"/>
      <c r="P4" s="71"/>
      <c r="Q4" s="72">
        <v>11</v>
      </c>
    </row>
    <row r="5" spans="1:17" ht="26.25" customHeight="1">
      <c r="A5" s="40" t="s">
        <v>2</v>
      </c>
      <c r="B5" s="131" t="s">
        <v>1417</v>
      </c>
      <c r="C5" s="130" t="s">
        <v>1295</v>
      </c>
      <c r="D5" s="132" t="s">
        <v>1418</v>
      </c>
      <c r="E5" s="130"/>
      <c r="F5" s="130">
        <v>3</v>
      </c>
      <c r="G5" s="130"/>
      <c r="H5" s="130"/>
      <c r="I5" s="71"/>
      <c r="J5" s="71"/>
      <c r="K5" s="71"/>
      <c r="L5" s="71"/>
      <c r="M5" s="71"/>
      <c r="N5" s="71"/>
      <c r="O5" s="71"/>
      <c r="P5" s="71"/>
      <c r="Q5" s="72">
        <v>3</v>
      </c>
    </row>
    <row r="6" spans="1:17" ht="26.25" customHeight="1">
      <c r="A6" s="40" t="s">
        <v>2</v>
      </c>
      <c r="B6" s="131" t="s">
        <v>1419</v>
      </c>
      <c r="C6" s="130" t="s">
        <v>1295</v>
      </c>
      <c r="D6" s="132" t="s">
        <v>1306</v>
      </c>
      <c r="E6" s="130">
        <v>1</v>
      </c>
      <c r="F6" s="130"/>
      <c r="G6" s="130"/>
      <c r="H6" s="130"/>
      <c r="I6" s="71"/>
      <c r="J6" s="71"/>
      <c r="K6" s="71"/>
      <c r="L6" s="71"/>
      <c r="M6" s="71"/>
      <c r="N6" s="71"/>
      <c r="O6" s="71"/>
      <c r="P6" s="71"/>
      <c r="Q6" s="72">
        <v>1</v>
      </c>
    </row>
    <row r="7" spans="1:17" ht="26.25" customHeight="1">
      <c r="A7" s="40" t="s">
        <v>2</v>
      </c>
      <c r="B7" s="131" t="s">
        <v>1415</v>
      </c>
      <c r="C7" s="130" t="s">
        <v>1295</v>
      </c>
      <c r="D7" s="132" t="s">
        <v>1416</v>
      </c>
      <c r="E7" s="130">
        <v>1</v>
      </c>
      <c r="F7" s="130"/>
      <c r="G7" s="130">
        <v>3</v>
      </c>
      <c r="H7" s="130">
        <v>1</v>
      </c>
      <c r="I7" s="71"/>
      <c r="J7" s="71"/>
      <c r="K7" s="71"/>
      <c r="L7" s="71"/>
      <c r="M7" s="71"/>
      <c r="N7" s="71"/>
      <c r="O7" s="71"/>
      <c r="P7" s="71"/>
      <c r="Q7" s="72">
        <v>5</v>
      </c>
    </row>
    <row r="8" spans="1:17" ht="26.25" customHeight="1">
      <c r="A8" s="40" t="s">
        <v>2</v>
      </c>
      <c r="B8" s="131" t="s">
        <v>1420</v>
      </c>
      <c r="C8" s="130" t="s">
        <v>1295</v>
      </c>
      <c r="D8" s="132" t="s">
        <v>1421</v>
      </c>
      <c r="E8" s="130">
        <v>5</v>
      </c>
      <c r="F8" s="130">
        <v>9</v>
      </c>
      <c r="G8" s="130"/>
      <c r="H8" s="130"/>
      <c r="I8" s="71"/>
      <c r="J8" s="71"/>
      <c r="K8" s="71"/>
      <c r="L8" s="71"/>
      <c r="M8" s="71"/>
      <c r="N8" s="71"/>
      <c r="O8" s="71"/>
      <c r="P8" s="71"/>
      <c r="Q8" s="72">
        <v>14</v>
      </c>
    </row>
    <row r="9" spans="1:17" ht="26.25" customHeight="1">
      <c r="A9" s="40" t="s">
        <v>2</v>
      </c>
      <c r="B9" s="131" t="s">
        <v>1413</v>
      </c>
      <c r="C9" s="130" t="s">
        <v>1295</v>
      </c>
      <c r="D9" s="132" t="s">
        <v>1414</v>
      </c>
      <c r="E9" s="130">
        <v>1</v>
      </c>
      <c r="F9" s="130">
        <v>2</v>
      </c>
      <c r="G9" s="130">
        <v>1</v>
      </c>
      <c r="H9" s="130"/>
      <c r="I9" s="71"/>
      <c r="J9" s="71"/>
      <c r="K9" s="71"/>
      <c r="L9" s="71"/>
      <c r="M9" s="71"/>
      <c r="N9" s="71"/>
      <c r="O9" s="71"/>
      <c r="P9" s="71"/>
      <c r="Q9" s="72">
        <v>4</v>
      </c>
    </row>
    <row r="10" spans="1:17" ht="26.25" customHeight="1">
      <c r="A10" s="40" t="s">
        <v>2</v>
      </c>
      <c r="B10" s="131" t="s">
        <v>1422</v>
      </c>
      <c r="C10" s="130" t="s">
        <v>1295</v>
      </c>
      <c r="D10" s="132" t="s">
        <v>1423</v>
      </c>
      <c r="E10" s="130"/>
      <c r="F10" s="130"/>
      <c r="G10" s="130">
        <v>1</v>
      </c>
      <c r="H10" s="130"/>
      <c r="I10" s="71"/>
      <c r="J10" s="71"/>
      <c r="K10" s="71"/>
      <c r="L10" s="71"/>
      <c r="M10" s="71"/>
      <c r="N10" s="71"/>
      <c r="O10" s="71"/>
      <c r="P10" s="71"/>
      <c r="Q10" s="72">
        <v>1</v>
      </c>
    </row>
    <row r="11" spans="1:17" ht="26.25" customHeight="1">
      <c r="A11" s="40" t="s">
        <v>2</v>
      </c>
      <c r="B11" s="131" t="s">
        <v>1424</v>
      </c>
      <c r="C11" s="130" t="s">
        <v>1295</v>
      </c>
      <c r="D11" s="132" t="s">
        <v>1425</v>
      </c>
      <c r="E11" s="130"/>
      <c r="F11" s="130"/>
      <c r="G11" s="130"/>
      <c r="H11" s="130">
        <v>1</v>
      </c>
      <c r="I11" s="71"/>
      <c r="J11" s="71"/>
      <c r="K11" s="71"/>
      <c r="L11" s="71"/>
      <c r="M11" s="71"/>
      <c r="N11" s="71"/>
      <c r="O11" s="71"/>
      <c r="P11" s="71"/>
      <c r="Q11" s="72">
        <v>1</v>
      </c>
    </row>
    <row r="12" spans="1:17" ht="26.25" customHeight="1">
      <c r="A12" s="40" t="s">
        <v>2</v>
      </c>
      <c r="B12" s="131" t="s">
        <v>1417</v>
      </c>
      <c r="C12" s="130" t="s">
        <v>1295</v>
      </c>
      <c r="D12" s="132" t="s">
        <v>1418</v>
      </c>
      <c r="E12" s="130"/>
      <c r="F12" s="130"/>
      <c r="G12" s="130">
        <v>2</v>
      </c>
      <c r="H12" s="130">
        <v>2</v>
      </c>
      <c r="I12" s="71"/>
      <c r="J12" s="71"/>
      <c r="K12" s="71"/>
      <c r="L12" s="71"/>
      <c r="M12" s="71"/>
      <c r="N12" s="71"/>
      <c r="O12" s="71"/>
      <c r="P12" s="71"/>
      <c r="Q12" s="72">
        <v>4</v>
      </c>
    </row>
    <row r="13" spans="1:17" ht="26.25" customHeight="1">
      <c r="A13" s="40" t="s">
        <v>2</v>
      </c>
      <c r="B13" s="131" t="s">
        <v>1415</v>
      </c>
      <c r="C13" s="130" t="s">
        <v>1295</v>
      </c>
      <c r="D13" s="132" t="s">
        <v>1416</v>
      </c>
      <c r="E13" s="130">
        <v>41</v>
      </c>
      <c r="F13" s="130">
        <v>45</v>
      </c>
      <c r="G13" s="130">
        <v>36</v>
      </c>
      <c r="H13" s="130">
        <v>27</v>
      </c>
      <c r="I13" s="71"/>
      <c r="J13" s="71"/>
      <c r="K13" s="71"/>
      <c r="L13" s="71"/>
      <c r="M13" s="71"/>
      <c r="N13" s="71"/>
      <c r="O13" s="71"/>
      <c r="P13" s="71"/>
      <c r="Q13" s="72">
        <v>149</v>
      </c>
    </row>
    <row r="14" spans="1:17" ht="26.25" customHeight="1">
      <c r="A14" s="40" t="s">
        <v>2</v>
      </c>
      <c r="B14" s="131" t="s">
        <v>1420</v>
      </c>
      <c r="C14" s="130" t="s">
        <v>1295</v>
      </c>
      <c r="D14" s="132" t="s">
        <v>1421</v>
      </c>
      <c r="E14" s="130"/>
      <c r="F14" s="130"/>
      <c r="G14" s="130"/>
      <c r="H14" s="130">
        <v>2</v>
      </c>
      <c r="I14" s="71"/>
      <c r="J14" s="71"/>
      <c r="K14" s="71"/>
      <c r="L14" s="71"/>
      <c r="M14" s="71"/>
      <c r="N14" s="71"/>
      <c r="O14" s="71"/>
      <c r="P14" s="71"/>
      <c r="Q14" s="72">
        <v>2</v>
      </c>
    </row>
    <row r="15" spans="1:17" ht="26.25" customHeight="1">
      <c r="A15" s="40" t="s">
        <v>2</v>
      </c>
      <c r="B15" s="131" t="s">
        <v>1424</v>
      </c>
      <c r="C15" s="130" t="s">
        <v>1295</v>
      </c>
      <c r="D15" s="132" t="s">
        <v>1425</v>
      </c>
      <c r="E15" s="130"/>
      <c r="F15" s="130"/>
      <c r="G15" s="130"/>
      <c r="H15" s="130">
        <v>1</v>
      </c>
      <c r="I15" s="71"/>
      <c r="J15" s="71"/>
      <c r="K15" s="71"/>
      <c r="L15" s="71"/>
      <c r="M15" s="71"/>
      <c r="N15" s="71"/>
      <c r="O15" s="71"/>
      <c r="P15" s="71"/>
      <c r="Q15" s="72">
        <v>1</v>
      </c>
    </row>
    <row r="16" spans="1:17" ht="26.25" customHeight="1">
      <c r="A16" s="40" t="s">
        <v>2</v>
      </c>
      <c r="B16" s="131" t="s">
        <v>1417</v>
      </c>
      <c r="C16" s="130" t="s">
        <v>1295</v>
      </c>
      <c r="D16" s="132" t="s">
        <v>1418</v>
      </c>
      <c r="E16" s="130">
        <v>3</v>
      </c>
      <c r="F16" s="130">
        <v>3</v>
      </c>
      <c r="G16" s="130"/>
      <c r="H16" s="130">
        <v>1</v>
      </c>
      <c r="I16" s="71"/>
      <c r="J16" s="71"/>
      <c r="K16" s="71"/>
      <c r="L16" s="71"/>
      <c r="M16" s="71"/>
      <c r="N16" s="71"/>
      <c r="O16" s="71"/>
      <c r="P16" s="71"/>
      <c r="Q16" s="72">
        <v>7</v>
      </c>
    </row>
    <row r="17" spans="1:17" ht="26.25" customHeight="1">
      <c r="A17" s="40" t="s">
        <v>2</v>
      </c>
      <c r="B17" s="131" t="s">
        <v>1415</v>
      </c>
      <c r="C17" s="130" t="s">
        <v>1295</v>
      </c>
      <c r="D17" s="132" t="s">
        <v>1416</v>
      </c>
      <c r="E17" s="130">
        <v>23</v>
      </c>
      <c r="F17" s="130">
        <v>25</v>
      </c>
      <c r="G17" s="130">
        <v>14</v>
      </c>
      <c r="H17" s="130">
        <v>3</v>
      </c>
      <c r="I17" s="71"/>
      <c r="J17" s="71"/>
      <c r="K17" s="71"/>
      <c r="L17" s="71"/>
      <c r="M17" s="71"/>
      <c r="N17" s="71"/>
      <c r="O17" s="71"/>
      <c r="P17" s="71"/>
      <c r="Q17" s="72">
        <v>65</v>
      </c>
    </row>
    <row r="18" spans="1:17" ht="29">
      <c r="A18" s="40" t="s">
        <v>2</v>
      </c>
      <c r="B18" s="131" t="s">
        <v>1420</v>
      </c>
      <c r="C18" s="130" t="s">
        <v>1295</v>
      </c>
      <c r="D18" s="132" t="s">
        <v>1421</v>
      </c>
      <c r="E18" s="130"/>
      <c r="F18" s="130">
        <v>1</v>
      </c>
      <c r="G18" s="130">
        <v>1</v>
      </c>
      <c r="H18" s="130"/>
      <c r="I18" s="71"/>
      <c r="J18" s="71"/>
      <c r="K18" s="71"/>
      <c r="L18" s="71"/>
      <c r="M18" s="71"/>
      <c r="N18" s="71"/>
      <c r="O18" s="71"/>
      <c r="P18" s="71"/>
      <c r="Q18" s="72">
        <v>2</v>
      </c>
    </row>
    <row r="19" spans="1:17" ht="29">
      <c r="A19" s="40" t="s">
        <v>2</v>
      </c>
      <c r="B19" s="131" t="s">
        <v>1417</v>
      </c>
      <c r="C19" s="130" t="s">
        <v>1295</v>
      </c>
      <c r="D19" s="132" t="s">
        <v>1418</v>
      </c>
      <c r="E19" s="130"/>
      <c r="F19" s="130"/>
      <c r="G19" s="130">
        <v>1</v>
      </c>
      <c r="H19" s="130"/>
      <c r="I19" s="71"/>
      <c r="J19" s="71"/>
      <c r="K19" s="71"/>
      <c r="L19" s="71"/>
      <c r="M19" s="71"/>
      <c r="N19" s="71"/>
      <c r="O19" s="71"/>
      <c r="P19" s="71"/>
      <c r="Q19" s="72">
        <v>1</v>
      </c>
    </row>
    <row r="20" spans="1:17" ht="29">
      <c r="A20" s="40" t="s">
        <v>2</v>
      </c>
      <c r="B20" s="131" t="s">
        <v>1426</v>
      </c>
      <c r="C20" s="130" t="s">
        <v>1295</v>
      </c>
      <c r="D20" s="132" t="s">
        <v>1427</v>
      </c>
      <c r="E20" s="130">
        <v>1</v>
      </c>
      <c r="F20" s="130"/>
      <c r="G20" s="130"/>
      <c r="H20" s="130"/>
      <c r="I20" s="71"/>
      <c r="J20" s="71"/>
      <c r="K20" s="71"/>
      <c r="L20" s="71"/>
      <c r="M20" s="71"/>
      <c r="N20" s="71"/>
      <c r="O20" s="71"/>
      <c r="P20" s="71"/>
      <c r="Q20" s="72">
        <v>1</v>
      </c>
    </row>
    <row r="21" spans="1:17" ht="29">
      <c r="A21" s="40" t="s">
        <v>2</v>
      </c>
      <c r="B21" s="131" t="s">
        <v>1428</v>
      </c>
      <c r="C21" s="130" t="s">
        <v>1295</v>
      </c>
      <c r="D21" s="132" t="s">
        <v>1429</v>
      </c>
      <c r="E21" s="130">
        <v>1</v>
      </c>
      <c r="F21" s="130">
        <v>1</v>
      </c>
      <c r="G21" s="130"/>
      <c r="H21" s="130"/>
      <c r="I21" s="71"/>
      <c r="J21" s="71"/>
      <c r="K21" s="71"/>
      <c r="L21" s="71"/>
      <c r="M21" s="71"/>
      <c r="N21" s="71"/>
      <c r="O21" s="71"/>
      <c r="P21" s="71"/>
      <c r="Q21" s="72">
        <v>2</v>
      </c>
    </row>
    <row r="22" spans="1:17" ht="29">
      <c r="A22" s="40" t="s">
        <v>2</v>
      </c>
      <c r="B22" s="131" t="s">
        <v>1415</v>
      </c>
      <c r="C22" s="130" t="s">
        <v>1295</v>
      </c>
      <c r="D22" s="132" t="s">
        <v>1416</v>
      </c>
      <c r="E22" s="130"/>
      <c r="F22" s="130"/>
      <c r="G22" s="130"/>
      <c r="H22" s="130">
        <v>1</v>
      </c>
      <c r="I22" s="71"/>
      <c r="J22" s="71"/>
      <c r="K22" s="71"/>
      <c r="L22" s="71"/>
      <c r="M22" s="71"/>
      <c r="N22" s="71"/>
      <c r="O22" s="71"/>
      <c r="P22" s="71"/>
      <c r="Q22" s="72">
        <v>1</v>
      </c>
    </row>
    <row r="23" spans="1:17" ht="43.5">
      <c r="A23" s="40" t="s">
        <v>2</v>
      </c>
      <c r="B23" s="131" t="s">
        <v>1419</v>
      </c>
      <c r="C23" s="130" t="s">
        <v>1305</v>
      </c>
      <c r="D23" s="132" t="s">
        <v>1306</v>
      </c>
      <c r="E23" s="130"/>
      <c r="F23" s="130"/>
      <c r="G23" s="130"/>
      <c r="H23" s="130">
        <v>1</v>
      </c>
      <c r="I23" s="71"/>
      <c r="J23" s="71"/>
      <c r="K23" s="71"/>
      <c r="L23" s="71"/>
      <c r="M23" s="71"/>
      <c r="N23" s="71"/>
      <c r="O23" s="71"/>
      <c r="P23" s="71"/>
      <c r="Q23" s="72">
        <v>1</v>
      </c>
    </row>
    <row r="24" spans="1:17" ht="29">
      <c r="A24" s="40" t="s">
        <v>2</v>
      </c>
      <c r="B24" s="131" t="s">
        <v>1417</v>
      </c>
      <c r="C24" s="130" t="s">
        <v>1305</v>
      </c>
      <c r="D24" s="132" t="s">
        <v>1418</v>
      </c>
      <c r="E24" s="130"/>
      <c r="F24" s="130"/>
      <c r="G24" s="130"/>
      <c r="H24" s="130">
        <v>1</v>
      </c>
      <c r="I24" s="71"/>
      <c r="J24" s="71"/>
      <c r="K24" s="71"/>
      <c r="L24" s="71"/>
      <c r="M24" s="71"/>
      <c r="N24" s="71"/>
      <c r="O24" s="71"/>
      <c r="P24" s="71"/>
      <c r="Q24" s="72">
        <v>1</v>
      </c>
    </row>
    <row r="25" spans="1:17" ht="58">
      <c r="A25" s="40" t="s">
        <v>2</v>
      </c>
      <c r="B25" s="131" t="s">
        <v>1430</v>
      </c>
      <c r="C25" s="130" t="s">
        <v>1305</v>
      </c>
      <c r="D25" s="132" t="s">
        <v>1431</v>
      </c>
      <c r="E25" s="130"/>
      <c r="F25" s="130"/>
      <c r="G25" s="130">
        <v>1</v>
      </c>
      <c r="H25" s="130"/>
      <c r="I25" s="71"/>
      <c r="J25" s="71"/>
      <c r="K25" s="71"/>
      <c r="L25" s="71"/>
      <c r="M25" s="71"/>
      <c r="N25" s="71"/>
      <c r="O25" s="71"/>
      <c r="P25" s="71"/>
      <c r="Q25" s="72">
        <v>1</v>
      </c>
    </row>
    <row r="26" spans="1:17" ht="43.5">
      <c r="A26" s="40" t="s">
        <v>2</v>
      </c>
      <c r="B26" s="131" t="s">
        <v>1432</v>
      </c>
      <c r="C26" s="130" t="s">
        <v>1346</v>
      </c>
      <c r="D26" s="132" t="s">
        <v>1433</v>
      </c>
      <c r="E26" s="130"/>
      <c r="F26" s="13"/>
      <c r="G26" s="13"/>
      <c r="H26" s="13">
        <v>1</v>
      </c>
      <c r="I26" s="71"/>
      <c r="J26" s="71"/>
      <c r="K26" s="71"/>
      <c r="L26" s="71"/>
      <c r="M26" s="71"/>
      <c r="N26" s="71"/>
      <c r="O26" s="71"/>
      <c r="P26" s="71"/>
      <c r="Q26" s="72">
        <v>1</v>
      </c>
    </row>
    <row r="27" spans="1:17" ht="29">
      <c r="A27" s="40" t="s">
        <v>2</v>
      </c>
      <c r="B27" s="131" t="s">
        <v>1417</v>
      </c>
      <c r="C27" s="130" t="s">
        <v>1346</v>
      </c>
      <c r="D27" s="132" t="s">
        <v>1418</v>
      </c>
      <c r="E27" s="130"/>
      <c r="F27" s="13"/>
      <c r="G27" s="13"/>
      <c r="H27" s="13">
        <v>1</v>
      </c>
      <c r="I27" s="71"/>
      <c r="J27" s="71"/>
      <c r="K27" s="71"/>
      <c r="L27" s="71"/>
      <c r="M27" s="71"/>
      <c r="N27" s="71"/>
      <c r="O27" s="71"/>
      <c r="P27" s="71"/>
      <c r="Q27" s="72">
        <v>1</v>
      </c>
    </row>
    <row r="28" spans="1:17" ht="43.5">
      <c r="A28" s="40" t="s">
        <v>2</v>
      </c>
      <c r="B28" s="131" t="s">
        <v>1434</v>
      </c>
      <c r="C28" s="130" t="s">
        <v>1346</v>
      </c>
      <c r="D28" s="132" t="s">
        <v>1435</v>
      </c>
      <c r="E28" s="130"/>
      <c r="F28" s="13">
        <v>1</v>
      </c>
      <c r="G28" s="13"/>
      <c r="H28" s="13"/>
      <c r="I28" s="71"/>
      <c r="J28" s="71"/>
      <c r="K28" s="71"/>
      <c r="L28" s="71"/>
      <c r="M28" s="71"/>
      <c r="N28" s="71"/>
      <c r="O28" s="71"/>
      <c r="P28" s="71"/>
      <c r="Q28" s="72">
        <v>1</v>
      </c>
    </row>
    <row r="29" spans="1:17" ht="29">
      <c r="A29" s="40" t="s">
        <v>2</v>
      </c>
      <c r="B29" s="131" t="s">
        <v>1417</v>
      </c>
      <c r="C29" s="130" t="s">
        <v>1292</v>
      </c>
      <c r="D29" s="132" t="s">
        <v>1418</v>
      </c>
      <c r="E29" s="130"/>
      <c r="F29" s="13">
        <v>1</v>
      </c>
      <c r="G29" s="13"/>
      <c r="H29" s="13"/>
      <c r="I29" s="71"/>
      <c r="J29" s="71"/>
      <c r="K29" s="71"/>
      <c r="L29" s="71"/>
      <c r="M29" s="71"/>
      <c r="N29" s="71"/>
      <c r="O29" s="71"/>
      <c r="P29" s="71"/>
      <c r="Q29" s="72">
        <v>1</v>
      </c>
    </row>
    <row r="30" spans="1:17" ht="43.5">
      <c r="A30" s="40" t="s">
        <v>2</v>
      </c>
      <c r="B30" s="131" t="s">
        <v>1419</v>
      </c>
      <c r="C30" s="130" t="s">
        <v>1292</v>
      </c>
      <c r="D30" s="132" t="s">
        <v>1306</v>
      </c>
      <c r="E30" s="130"/>
      <c r="F30" s="13"/>
      <c r="G30" s="13">
        <v>1</v>
      </c>
      <c r="H30" s="13">
        <v>1</v>
      </c>
      <c r="I30" s="71"/>
      <c r="J30" s="71"/>
      <c r="K30" s="71"/>
      <c r="L30" s="71"/>
      <c r="M30" s="71"/>
      <c r="N30" s="71"/>
      <c r="O30" s="71"/>
      <c r="P30" s="71"/>
      <c r="Q30" s="72">
        <v>2</v>
      </c>
    </row>
    <row r="31" spans="1:17" ht="43.5">
      <c r="A31" s="40" t="s">
        <v>2</v>
      </c>
      <c r="B31" s="131" t="s">
        <v>1419</v>
      </c>
      <c r="C31" s="130" t="s">
        <v>1292</v>
      </c>
      <c r="D31" s="132" t="s">
        <v>1306</v>
      </c>
      <c r="E31" s="130"/>
      <c r="F31" s="13"/>
      <c r="G31" s="13">
        <v>1</v>
      </c>
      <c r="H31" s="13"/>
      <c r="I31" s="71"/>
      <c r="J31" s="71"/>
      <c r="K31" s="71"/>
      <c r="L31" s="71"/>
      <c r="M31" s="71"/>
      <c r="N31" s="71"/>
      <c r="O31" s="71"/>
      <c r="P31" s="71"/>
      <c r="Q31" s="72">
        <v>1</v>
      </c>
    </row>
    <row r="32" spans="1:17" ht="29">
      <c r="A32" s="40" t="s">
        <v>2</v>
      </c>
      <c r="B32" s="131" t="s">
        <v>1422</v>
      </c>
      <c r="C32" s="130" t="s">
        <v>1292</v>
      </c>
      <c r="D32" s="132" t="s">
        <v>1423</v>
      </c>
      <c r="E32" s="130"/>
      <c r="F32" s="13">
        <v>1</v>
      </c>
      <c r="G32" s="13"/>
      <c r="H32" s="13"/>
      <c r="I32" s="71"/>
      <c r="J32" s="71"/>
      <c r="K32" s="71"/>
      <c r="L32" s="71"/>
      <c r="M32" s="71"/>
      <c r="N32" s="71"/>
      <c r="O32" s="71"/>
      <c r="P32" s="71"/>
      <c r="Q32" s="72">
        <v>1</v>
      </c>
    </row>
    <row r="33" spans="1:17" ht="29">
      <c r="A33" s="40" t="s">
        <v>2</v>
      </c>
      <c r="B33" s="131" t="s">
        <v>1417</v>
      </c>
      <c r="C33" s="130" t="s">
        <v>1305</v>
      </c>
      <c r="D33" s="132" t="s">
        <v>1418</v>
      </c>
      <c r="E33" s="130"/>
      <c r="F33" s="13"/>
      <c r="G33" s="13"/>
      <c r="H33" s="13">
        <v>1</v>
      </c>
      <c r="I33" s="71"/>
      <c r="J33" s="71"/>
      <c r="K33" s="71"/>
      <c r="L33" s="71"/>
      <c r="M33" s="71"/>
      <c r="N33" s="71"/>
      <c r="O33" s="71"/>
      <c r="P33" s="71"/>
      <c r="Q33" s="72">
        <v>1</v>
      </c>
    </row>
    <row r="34" spans="1:17" ht="43.5">
      <c r="A34" s="40" t="s">
        <v>2</v>
      </c>
      <c r="B34" s="131" t="s">
        <v>1434</v>
      </c>
      <c r="C34" s="130" t="s">
        <v>1305</v>
      </c>
      <c r="D34" s="132" t="s">
        <v>1435</v>
      </c>
      <c r="E34" s="130"/>
      <c r="F34" s="13">
        <v>1</v>
      </c>
      <c r="G34" s="13"/>
      <c r="H34" s="13"/>
      <c r="I34" s="71"/>
      <c r="J34" s="71"/>
      <c r="K34" s="71"/>
      <c r="L34" s="71"/>
      <c r="M34" s="71"/>
      <c r="N34" s="71"/>
      <c r="O34" s="71"/>
      <c r="P34" s="71"/>
      <c r="Q34" s="72">
        <v>1</v>
      </c>
    </row>
    <row r="35" spans="1:17" ht="29">
      <c r="A35" s="40" t="s">
        <v>2</v>
      </c>
      <c r="B35" s="125" t="s">
        <v>1417</v>
      </c>
      <c r="C35" s="130" t="s">
        <v>1292</v>
      </c>
      <c r="D35" s="132" t="s">
        <v>1418</v>
      </c>
      <c r="E35" s="13"/>
      <c r="F35" s="13">
        <v>1</v>
      </c>
      <c r="G35" s="13">
        <v>1</v>
      </c>
      <c r="H35" s="13"/>
      <c r="I35" s="71"/>
      <c r="J35" s="71"/>
      <c r="K35" s="71"/>
      <c r="L35" s="71"/>
      <c r="M35" s="71"/>
      <c r="N35" s="71"/>
      <c r="O35" s="71"/>
      <c r="P35" s="71"/>
      <c r="Q35" s="72">
        <v>2</v>
      </c>
    </row>
    <row r="36" spans="1:17" ht="29">
      <c r="A36" s="40" t="s">
        <v>2</v>
      </c>
      <c r="B36" s="125" t="s">
        <v>1417</v>
      </c>
      <c r="C36" s="130" t="s">
        <v>1292</v>
      </c>
      <c r="D36" s="132" t="s">
        <v>1418</v>
      </c>
      <c r="E36" s="13">
        <v>1</v>
      </c>
      <c r="F36" s="13">
        <v>1</v>
      </c>
      <c r="G36" s="13"/>
      <c r="H36" s="13"/>
      <c r="I36" s="71"/>
      <c r="J36" s="71"/>
      <c r="K36" s="71"/>
      <c r="L36" s="71"/>
      <c r="M36" s="71"/>
      <c r="N36" s="71"/>
      <c r="O36" s="71"/>
      <c r="P36" s="71"/>
      <c r="Q36" s="72">
        <v>2</v>
      </c>
    </row>
    <row r="37" spans="1:17" ht="29">
      <c r="A37" s="40" t="s">
        <v>2</v>
      </c>
      <c r="B37" s="125" t="s">
        <v>1417</v>
      </c>
      <c r="C37" s="130" t="s">
        <v>1295</v>
      </c>
      <c r="D37" s="132" t="s">
        <v>1418</v>
      </c>
      <c r="E37" s="13"/>
      <c r="F37" s="13"/>
      <c r="G37" s="13">
        <v>1</v>
      </c>
      <c r="H37" s="13"/>
      <c r="I37" s="71"/>
      <c r="J37" s="71"/>
      <c r="K37" s="71"/>
      <c r="L37" s="71"/>
      <c r="M37" s="71"/>
      <c r="N37" s="71"/>
      <c r="O37" s="71"/>
      <c r="P37" s="71"/>
      <c r="Q37" s="72">
        <v>1</v>
      </c>
    </row>
    <row r="38" spans="1:17" ht="29">
      <c r="A38" s="40" t="s">
        <v>2</v>
      </c>
      <c r="B38" s="125" t="s">
        <v>1417</v>
      </c>
      <c r="C38" s="130" t="s">
        <v>1295</v>
      </c>
      <c r="D38" s="132" t="s">
        <v>1418</v>
      </c>
      <c r="E38" s="13"/>
      <c r="F38" s="13">
        <v>1</v>
      </c>
      <c r="G38" s="13"/>
      <c r="H38" s="13"/>
      <c r="I38" s="71"/>
      <c r="J38" s="71"/>
      <c r="K38" s="71"/>
      <c r="L38" s="71"/>
      <c r="M38" s="71"/>
      <c r="N38" s="71"/>
      <c r="O38" s="71"/>
      <c r="P38" s="71"/>
      <c r="Q38" s="72">
        <v>1</v>
      </c>
    </row>
    <row r="39" spans="1:17" ht="29">
      <c r="A39" s="40" t="s">
        <v>2</v>
      </c>
      <c r="B39" s="125" t="s">
        <v>1417</v>
      </c>
      <c r="C39" s="130" t="s">
        <v>1295</v>
      </c>
      <c r="D39" s="132" t="s">
        <v>1418</v>
      </c>
      <c r="E39" s="13"/>
      <c r="F39" s="13">
        <v>3</v>
      </c>
      <c r="G39" s="13"/>
      <c r="H39" s="13"/>
      <c r="I39" s="71"/>
      <c r="J39" s="71"/>
      <c r="K39" s="71"/>
      <c r="L39" s="71"/>
      <c r="M39" s="71"/>
      <c r="N39" s="71"/>
      <c r="O39" s="71"/>
      <c r="P39" s="71"/>
      <c r="Q39" s="72">
        <v>3</v>
      </c>
    </row>
    <row r="40" spans="1:17" ht="29">
      <c r="A40" s="40" t="s">
        <v>2</v>
      </c>
      <c r="B40" s="125" t="s">
        <v>1417</v>
      </c>
      <c r="C40" s="130" t="s">
        <v>1305</v>
      </c>
      <c r="D40" s="132" t="s">
        <v>1418</v>
      </c>
      <c r="E40" s="13"/>
      <c r="F40" s="13"/>
      <c r="G40" s="13">
        <v>1</v>
      </c>
      <c r="H40" s="13">
        <v>3</v>
      </c>
      <c r="I40" s="71"/>
      <c r="J40" s="71"/>
      <c r="K40" s="71"/>
      <c r="L40" s="71"/>
      <c r="M40" s="71"/>
      <c r="N40" s="71"/>
      <c r="O40" s="71"/>
      <c r="P40" s="71"/>
      <c r="Q40" s="72">
        <v>4</v>
      </c>
    </row>
    <row r="41" spans="1:17" ht="29">
      <c r="A41" s="40" t="s">
        <v>2</v>
      </c>
      <c r="B41" s="125" t="s">
        <v>1417</v>
      </c>
      <c r="C41" s="130" t="s">
        <v>1305</v>
      </c>
      <c r="D41" s="132" t="s">
        <v>1418</v>
      </c>
      <c r="E41" s="13"/>
      <c r="F41" s="13">
        <v>3</v>
      </c>
      <c r="G41" s="13"/>
      <c r="H41" s="13"/>
      <c r="I41" s="71"/>
      <c r="J41" s="71"/>
      <c r="K41" s="71"/>
      <c r="L41" s="71"/>
      <c r="M41" s="71"/>
      <c r="N41" s="71"/>
      <c r="O41" s="71"/>
      <c r="P41" s="71"/>
      <c r="Q41" s="72">
        <v>3</v>
      </c>
    </row>
    <row r="42" spans="1:17" ht="29">
      <c r="A42" s="40" t="s">
        <v>2</v>
      </c>
      <c r="B42" s="125" t="s">
        <v>1417</v>
      </c>
      <c r="C42" s="130" t="s">
        <v>1292</v>
      </c>
      <c r="D42" s="132" t="s">
        <v>1418</v>
      </c>
      <c r="E42" s="13">
        <v>1</v>
      </c>
      <c r="F42" s="13"/>
      <c r="G42" s="13"/>
      <c r="H42" s="13"/>
      <c r="I42" s="71"/>
      <c r="J42" s="71"/>
      <c r="K42" s="71"/>
      <c r="L42" s="71"/>
      <c r="M42" s="71"/>
      <c r="N42" s="71"/>
      <c r="O42" s="71"/>
      <c r="P42" s="71"/>
      <c r="Q42" s="72">
        <v>1</v>
      </c>
    </row>
    <row r="43" spans="1:17" ht="29">
      <c r="A43" s="40" t="s">
        <v>2</v>
      </c>
      <c r="B43" s="125" t="s">
        <v>1417</v>
      </c>
      <c r="C43" s="130" t="s">
        <v>1292</v>
      </c>
      <c r="D43" s="132" t="s">
        <v>1418</v>
      </c>
      <c r="E43" s="13">
        <v>1</v>
      </c>
      <c r="F43" s="13"/>
      <c r="G43" s="13"/>
      <c r="H43" s="13"/>
      <c r="I43" s="71"/>
      <c r="J43" s="71"/>
      <c r="K43" s="71"/>
      <c r="L43" s="71"/>
      <c r="M43" s="71"/>
      <c r="N43" s="71"/>
      <c r="O43" s="71"/>
      <c r="P43" s="71"/>
      <c r="Q43" s="72">
        <v>1</v>
      </c>
    </row>
    <row r="44" spans="1:17" ht="29">
      <c r="A44" s="40" t="s">
        <v>2</v>
      </c>
      <c r="B44" s="125" t="s">
        <v>1417</v>
      </c>
      <c r="C44" s="130" t="s">
        <v>1305</v>
      </c>
      <c r="D44" s="132" t="s">
        <v>1418</v>
      </c>
      <c r="E44" s="13"/>
      <c r="F44" s="13">
        <v>1</v>
      </c>
      <c r="G44" s="13"/>
      <c r="H44" s="13"/>
      <c r="I44" s="71"/>
      <c r="J44" s="71"/>
      <c r="K44" s="71"/>
      <c r="L44" s="71"/>
      <c r="M44" s="71"/>
      <c r="N44" s="71"/>
      <c r="O44" s="71"/>
      <c r="P44" s="71"/>
      <c r="Q44" s="72">
        <v>1</v>
      </c>
    </row>
    <row r="45" spans="1:17" ht="29">
      <c r="A45" s="40" t="s">
        <v>2</v>
      </c>
      <c r="B45" s="125" t="s">
        <v>1417</v>
      </c>
      <c r="C45" s="130" t="s">
        <v>1346</v>
      </c>
      <c r="D45" s="132" t="s">
        <v>1418</v>
      </c>
      <c r="E45" s="13"/>
      <c r="F45" s="13"/>
      <c r="G45" s="13">
        <v>1</v>
      </c>
      <c r="H45" s="13"/>
      <c r="I45" s="71"/>
      <c r="J45" s="71"/>
      <c r="K45" s="71"/>
      <c r="L45" s="71"/>
      <c r="M45" s="71"/>
      <c r="N45" s="71"/>
      <c r="O45" s="71"/>
      <c r="P45" s="71"/>
      <c r="Q45" s="72">
        <v>1</v>
      </c>
    </row>
    <row r="46" spans="1:17" ht="29">
      <c r="A46" s="40" t="s">
        <v>2</v>
      </c>
      <c r="B46" s="125" t="s">
        <v>1417</v>
      </c>
      <c r="C46" s="130" t="s">
        <v>1292</v>
      </c>
      <c r="D46" s="132" t="s">
        <v>1418</v>
      </c>
      <c r="E46" s="13"/>
      <c r="F46" s="13"/>
      <c r="G46" s="13">
        <v>4</v>
      </c>
      <c r="H46" s="13"/>
      <c r="I46" s="71"/>
      <c r="J46" s="71"/>
      <c r="K46" s="71"/>
      <c r="L46" s="71"/>
      <c r="M46" s="71"/>
      <c r="N46" s="71"/>
      <c r="O46" s="71"/>
      <c r="P46" s="71"/>
      <c r="Q46" s="72">
        <v>4</v>
      </c>
    </row>
    <row r="47" spans="1:17" ht="29">
      <c r="A47" s="40" t="s">
        <v>2</v>
      </c>
      <c r="B47" s="125" t="s">
        <v>1417</v>
      </c>
      <c r="C47" s="130" t="s">
        <v>1346</v>
      </c>
      <c r="D47" s="132" t="s">
        <v>1418</v>
      </c>
      <c r="E47" s="13"/>
      <c r="F47" s="13"/>
      <c r="G47" s="13"/>
      <c r="H47" s="13">
        <v>1</v>
      </c>
      <c r="I47" s="71"/>
      <c r="J47" s="71"/>
      <c r="K47" s="71"/>
      <c r="L47" s="71"/>
      <c r="M47" s="71"/>
      <c r="N47" s="71"/>
      <c r="O47" s="71"/>
      <c r="P47" s="71"/>
      <c r="Q47" s="72">
        <v>1</v>
      </c>
    </row>
    <row r="48" spans="1:17" ht="29">
      <c r="A48" s="40" t="s">
        <v>2</v>
      </c>
      <c r="B48" s="125" t="s">
        <v>1417</v>
      </c>
      <c r="C48" s="130" t="s">
        <v>1346</v>
      </c>
      <c r="D48" s="132" t="s">
        <v>1418</v>
      </c>
      <c r="E48" s="13"/>
      <c r="F48" s="13"/>
      <c r="G48" s="13"/>
      <c r="H48" s="13">
        <v>1</v>
      </c>
      <c r="I48" s="71"/>
      <c r="J48" s="71"/>
      <c r="K48" s="71"/>
      <c r="L48" s="71"/>
      <c r="M48" s="71"/>
      <c r="N48" s="71"/>
      <c r="O48" s="71"/>
      <c r="P48" s="71"/>
      <c r="Q48" s="72">
        <v>1</v>
      </c>
    </row>
    <row r="49" spans="1:17" ht="29">
      <c r="A49" s="40" t="s">
        <v>1</v>
      </c>
      <c r="B49" s="69" t="s">
        <v>1291</v>
      </c>
      <c r="C49" s="40" t="s">
        <v>1292</v>
      </c>
      <c r="D49" s="70" t="s">
        <v>1293</v>
      </c>
      <c r="E49" s="40">
        <v>1</v>
      </c>
      <c r="F49" s="40"/>
      <c r="G49" s="40">
        <v>4</v>
      </c>
      <c r="H49" s="40">
        <v>1</v>
      </c>
      <c r="I49" s="71"/>
      <c r="J49" s="71"/>
      <c r="K49" s="71"/>
      <c r="L49" s="71"/>
      <c r="M49" s="71"/>
      <c r="N49" s="71"/>
      <c r="O49" s="71"/>
      <c r="P49" s="71"/>
      <c r="Q49" s="72">
        <v>6</v>
      </c>
    </row>
    <row r="50" spans="1:17" ht="43.5">
      <c r="A50" s="40" t="s">
        <v>1</v>
      </c>
      <c r="B50" s="69" t="s">
        <v>1294</v>
      </c>
      <c r="C50" s="40" t="s">
        <v>1295</v>
      </c>
      <c r="D50" s="70" t="s">
        <v>1296</v>
      </c>
      <c r="E50" s="40">
        <v>5</v>
      </c>
      <c r="F50" s="40">
        <v>3</v>
      </c>
      <c r="G50" s="40"/>
      <c r="H50" s="40">
        <v>2</v>
      </c>
      <c r="I50" s="71"/>
      <c r="J50" s="71"/>
      <c r="K50" s="71"/>
      <c r="L50" s="71"/>
      <c r="M50" s="71"/>
      <c r="N50" s="71"/>
      <c r="O50" s="71"/>
      <c r="P50" s="71"/>
      <c r="Q50" s="72">
        <v>10</v>
      </c>
    </row>
    <row r="51" spans="1:17" ht="43.5">
      <c r="A51" s="40" t="s">
        <v>1</v>
      </c>
      <c r="B51" s="69" t="s">
        <v>1297</v>
      </c>
      <c r="C51" s="40" t="s">
        <v>1295</v>
      </c>
      <c r="D51" s="70" t="s">
        <v>1298</v>
      </c>
      <c r="E51" s="40">
        <v>1</v>
      </c>
      <c r="F51" s="40"/>
      <c r="G51" s="40"/>
      <c r="H51" s="40"/>
      <c r="I51" s="71"/>
      <c r="J51" s="71"/>
      <c r="K51" s="71"/>
      <c r="L51" s="71"/>
      <c r="M51" s="71"/>
      <c r="N51" s="71"/>
      <c r="O51" s="71"/>
      <c r="P51" s="71"/>
      <c r="Q51" s="72">
        <v>1</v>
      </c>
    </row>
    <row r="52" spans="1:17" ht="29">
      <c r="A52" s="40" t="s">
        <v>1</v>
      </c>
      <c r="B52" s="69" t="s">
        <v>1299</v>
      </c>
      <c r="C52" s="40" t="s">
        <v>1295</v>
      </c>
      <c r="D52" s="70" t="s">
        <v>1300</v>
      </c>
      <c r="E52" s="40">
        <v>3</v>
      </c>
      <c r="F52" s="40">
        <v>2</v>
      </c>
      <c r="G52" s="40">
        <v>8</v>
      </c>
      <c r="H52" s="40">
        <v>8</v>
      </c>
      <c r="I52" s="71"/>
      <c r="J52" s="71"/>
      <c r="K52" s="71"/>
      <c r="L52" s="71"/>
      <c r="M52" s="71"/>
      <c r="N52" s="71"/>
      <c r="O52" s="71"/>
      <c r="P52" s="71"/>
      <c r="Q52" s="72">
        <v>21</v>
      </c>
    </row>
    <row r="53" spans="1:17" ht="29">
      <c r="A53" s="40" t="s">
        <v>1</v>
      </c>
      <c r="B53" s="69" t="s">
        <v>1301</v>
      </c>
      <c r="C53" s="40" t="s">
        <v>1292</v>
      </c>
      <c r="D53" s="70" t="s">
        <v>1293</v>
      </c>
      <c r="E53" s="40">
        <v>1</v>
      </c>
      <c r="F53" s="40">
        <v>4</v>
      </c>
      <c r="G53" s="40">
        <v>2</v>
      </c>
      <c r="H53" s="40">
        <v>6</v>
      </c>
      <c r="I53" s="71"/>
      <c r="J53" s="71"/>
      <c r="K53" s="71"/>
      <c r="L53" s="71"/>
      <c r="M53" s="71"/>
      <c r="N53" s="71"/>
      <c r="O53" s="71"/>
      <c r="P53" s="71"/>
      <c r="Q53" s="72">
        <v>13</v>
      </c>
    </row>
    <row r="54" spans="1:17" ht="43.5">
      <c r="A54" s="40" t="s">
        <v>1</v>
      </c>
      <c r="B54" s="69" t="s">
        <v>1302</v>
      </c>
      <c r="C54" s="40" t="s">
        <v>1295</v>
      </c>
      <c r="D54" s="70" t="s">
        <v>1296</v>
      </c>
      <c r="E54" s="40">
        <v>1</v>
      </c>
      <c r="F54" s="40"/>
      <c r="G54" s="40">
        <v>4</v>
      </c>
      <c r="H54" s="40">
        <v>1</v>
      </c>
      <c r="I54" s="71"/>
      <c r="J54" s="71"/>
      <c r="K54" s="71"/>
      <c r="L54" s="71"/>
      <c r="M54" s="71"/>
      <c r="N54" s="71"/>
      <c r="O54" s="71"/>
      <c r="P54" s="71"/>
      <c r="Q54" s="72">
        <v>6</v>
      </c>
    </row>
    <row r="55" spans="1:17" ht="43.5">
      <c r="A55" s="40" t="s">
        <v>1</v>
      </c>
      <c r="B55" s="69" t="s">
        <v>1303</v>
      </c>
      <c r="C55" s="40" t="s">
        <v>1295</v>
      </c>
      <c r="D55" s="70" t="s">
        <v>1298</v>
      </c>
      <c r="E55" s="40">
        <v>5</v>
      </c>
      <c r="F55" s="40">
        <v>8</v>
      </c>
      <c r="G55" s="40"/>
      <c r="H55" s="40"/>
      <c r="I55" s="71"/>
      <c r="J55" s="71"/>
      <c r="K55" s="71"/>
      <c r="L55" s="71"/>
      <c r="M55" s="71"/>
      <c r="N55" s="71"/>
      <c r="O55" s="71"/>
      <c r="P55" s="71"/>
      <c r="Q55" s="72">
        <v>13</v>
      </c>
    </row>
    <row r="56" spans="1:17" ht="43.5">
      <c r="A56" s="40" t="s">
        <v>1</v>
      </c>
      <c r="B56" s="69" t="s">
        <v>1304</v>
      </c>
      <c r="C56" s="40" t="s">
        <v>1305</v>
      </c>
      <c r="D56" s="70" t="s">
        <v>1306</v>
      </c>
      <c r="E56" s="40">
        <v>1</v>
      </c>
      <c r="F56" s="40"/>
      <c r="G56" s="40">
        <v>1</v>
      </c>
      <c r="H56" s="40">
        <v>1</v>
      </c>
      <c r="I56" s="71"/>
      <c r="J56" s="71"/>
      <c r="K56" s="71"/>
      <c r="L56" s="71"/>
      <c r="M56" s="71"/>
      <c r="N56" s="71"/>
      <c r="O56" s="71"/>
      <c r="P56" s="71"/>
      <c r="Q56" s="72">
        <v>3</v>
      </c>
    </row>
    <row r="57" spans="1:17" ht="29">
      <c r="A57" s="40" t="s">
        <v>4</v>
      </c>
      <c r="B57" s="69" t="s">
        <v>1301</v>
      </c>
      <c r="C57" s="40" t="s">
        <v>1292</v>
      </c>
      <c r="D57" s="70" t="s">
        <v>1293</v>
      </c>
      <c r="E57" s="40">
        <v>1</v>
      </c>
      <c r="F57" s="40">
        <v>4</v>
      </c>
      <c r="G57" s="40">
        <v>2</v>
      </c>
      <c r="H57" s="40">
        <v>6</v>
      </c>
      <c r="I57" s="71"/>
      <c r="J57" s="71"/>
      <c r="K57" s="71"/>
      <c r="L57" s="71"/>
      <c r="M57" s="71"/>
      <c r="N57" s="71"/>
      <c r="O57" s="71"/>
      <c r="P57" s="71"/>
      <c r="Q57" s="72">
        <v>13</v>
      </c>
    </row>
    <row r="58" spans="1:17" ht="43.5">
      <c r="A58" s="40" t="s">
        <v>4</v>
      </c>
      <c r="B58" s="69" t="s">
        <v>1302</v>
      </c>
      <c r="C58" s="40" t="s">
        <v>1295</v>
      </c>
      <c r="D58" s="70" t="s">
        <v>1296</v>
      </c>
      <c r="E58" s="40">
        <v>1</v>
      </c>
      <c r="F58" s="40"/>
      <c r="G58" s="40">
        <v>4</v>
      </c>
      <c r="H58" s="40">
        <v>1</v>
      </c>
      <c r="I58" s="71"/>
      <c r="J58" s="71"/>
      <c r="K58" s="71"/>
      <c r="L58" s="71"/>
      <c r="M58" s="71"/>
      <c r="N58" s="71"/>
      <c r="O58" s="71"/>
      <c r="P58" s="71"/>
      <c r="Q58" s="72">
        <v>6</v>
      </c>
    </row>
    <row r="59" spans="1:17" ht="43.5">
      <c r="A59" s="40" t="s">
        <v>4</v>
      </c>
      <c r="B59" s="69" t="s">
        <v>1303</v>
      </c>
      <c r="C59" s="40" t="s">
        <v>1295</v>
      </c>
      <c r="D59" s="70" t="s">
        <v>1298</v>
      </c>
      <c r="E59" s="40">
        <v>5</v>
      </c>
      <c r="F59" s="40">
        <v>8</v>
      </c>
      <c r="G59" s="40"/>
      <c r="H59" s="40"/>
      <c r="I59" s="71"/>
      <c r="J59" s="71"/>
      <c r="K59" s="71"/>
      <c r="L59" s="71"/>
      <c r="M59" s="71"/>
      <c r="N59" s="71"/>
      <c r="O59" s="71"/>
      <c r="P59" s="71"/>
      <c r="Q59" s="72">
        <v>13</v>
      </c>
    </row>
    <row r="60" spans="1:17" ht="43.5">
      <c r="A60" s="40" t="s">
        <v>4</v>
      </c>
      <c r="B60" s="69" t="s">
        <v>1304</v>
      </c>
      <c r="C60" s="40" t="s">
        <v>1305</v>
      </c>
      <c r="D60" s="70" t="s">
        <v>1306</v>
      </c>
      <c r="E60" s="40">
        <v>1</v>
      </c>
      <c r="F60" s="40"/>
      <c r="G60" s="40">
        <v>1</v>
      </c>
      <c r="H60" s="40">
        <v>1</v>
      </c>
      <c r="I60" s="71"/>
      <c r="J60" s="71"/>
      <c r="K60" s="71"/>
      <c r="L60" s="71"/>
      <c r="M60" s="71"/>
      <c r="N60" s="71"/>
      <c r="O60" s="71"/>
      <c r="P60" s="71"/>
      <c r="Q60" s="72">
        <v>3</v>
      </c>
    </row>
    <row r="61" spans="1:17" ht="29">
      <c r="A61" s="40" t="s">
        <v>4</v>
      </c>
      <c r="B61" s="69" t="s">
        <v>1308</v>
      </c>
      <c r="C61" s="40" t="s">
        <v>1292</v>
      </c>
      <c r="D61" s="70" t="s">
        <v>1293</v>
      </c>
      <c r="E61" s="40">
        <v>1</v>
      </c>
      <c r="F61" s="40"/>
      <c r="G61" s="40"/>
      <c r="H61" s="40"/>
      <c r="I61" s="71"/>
      <c r="J61" s="71"/>
      <c r="K61" s="71"/>
      <c r="L61" s="71"/>
      <c r="M61" s="71"/>
      <c r="N61" s="71"/>
      <c r="O61" s="71"/>
      <c r="P61" s="71"/>
      <c r="Q61" s="72">
        <v>1</v>
      </c>
    </row>
    <row r="62" spans="1:17" ht="43.5">
      <c r="A62" s="40" t="s">
        <v>4</v>
      </c>
      <c r="B62" s="69" t="s">
        <v>1309</v>
      </c>
      <c r="C62" s="40" t="s">
        <v>1295</v>
      </c>
      <c r="D62" s="70" t="s">
        <v>1296</v>
      </c>
      <c r="E62" s="40">
        <v>25</v>
      </c>
      <c r="F62" s="40">
        <v>28</v>
      </c>
      <c r="G62" s="40">
        <v>23</v>
      </c>
      <c r="H62" s="40">
        <v>5</v>
      </c>
      <c r="I62" s="71"/>
      <c r="J62" s="71"/>
      <c r="K62" s="71"/>
      <c r="L62" s="71"/>
      <c r="M62" s="71"/>
      <c r="N62" s="71"/>
      <c r="O62" s="71"/>
      <c r="P62" s="71"/>
      <c r="Q62" s="72">
        <v>81</v>
      </c>
    </row>
    <row r="63" spans="1:17" ht="29">
      <c r="A63" s="40" t="s">
        <v>4</v>
      </c>
      <c r="B63" s="69" t="s">
        <v>1310</v>
      </c>
      <c r="C63" s="40" t="s">
        <v>1292</v>
      </c>
      <c r="D63" s="70" t="s">
        <v>1293</v>
      </c>
      <c r="E63" s="40">
        <v>5</v>
      </c>
      <c r="F63" s="40">
        <v>9</v>
      </c>
      <c r="G63" s="40">
        <v>4</v>
      </c>
      <c r="H63" s="40">
        <v>3</v>
      </c>
      <c r="I63" s="71"/>
      <c r="J63" s="71"/>
      <c r="K63" s="71"/>
      <c r="L63" s="71"/>
      <c r="M63" s="71"/>
      <c r="N63" s="71"/>
      <c r="O63" s="71"/>
      <c r="P63" s="71"/>
      <c r="Q63" s="72">
        <v>21</v>
      </c>
    </row>
    <row r="64" spans="1:17" ht="29">
      <c r="A64" s="40" t="s">
        <v>3</v>
      </c>
      <c r="B64" s="69" t="s">
        <v>1308</v>
      </c>
      <c r="C64" s="40" t="s">
        <v>1292</v>
      </c>
      <c r="D64" s="70" t="s">
        <v>1293</v>
      </c>
      <c r="E64" s="40">
        <v>1</v>
      </c>
      <c r="F64" s="40"/>
      <c r="G64" s="40"/>
      <c r="H64" s="40"/>
      <c r="I64" s="71"/>
      <c r="J64" s="71"/>
      <c r="K64" s="71"/>
      <c r="L64" s="71"/>
      <c r="M64" s="71"/>
      <c r="N64" s="71"/>
      <c r="O64" s="71"/>
      <c r="P64" s="71"/>
      <c r="Q64" s="72">
        <v>1</v>
      </c>
    </row>
    <row r="65" spans="1:17" ht="43.5">
      <c r="A65" s="40" t="s">
        <v>3</v>
      </c>
      <c r="B65" s="69" t="s">
        <v>1309</v>
      </c>
      <c r="C65" s="40" t="s">
        <v>1295</v>
      </c>
      <c r="D65" s="70" t="s">
        <v>1296</v>
      </c>
      <c r="E65" s="40">
        <v>25</v>
      </c>
      <c r="F65" s="40">
        <v>28</v>
      </c>
      <c r="G65" s="40">
        <v>23</v>
      </c>
      <c r="H65" s="40">
        <v>5</v>
      </c>
      <c r="I65" s="71"/>
      <c r="J65" s="71"/>
      <c r="K65" s="71"/>
      <c r="L65" s="71"/>
      <c r="M65" s="71"/>
      <c r="N65" s="71"/>
      <c r="O65" s="71"/>
      <c r="P65" s="71"/>
      <c r="Q65" s="72">
        <v>81</v>
      </c>
    </row>
    <row r="66" spans="1:17" ht="29">
      <c r="A66" s="40" t="s">
        <v>3</v>
      </c>
      <c r="B66" s="69" t="s">
        <v>1310</v>
      </c>
      <c r="C66" s="40" t="s">
        <v>1292</v>
      </c>
      <c r="D66" s="70" t="s">
        <v>1293</v>
      </c>
      <c r="E66" s="40">
        <v>5</v>
      </c>
      <c r="F66" s="40">
        <v>9</v>
      </c>
      <c r="G66" s="40">
        <v>4</v>
      </c>
      <c r="H66" s="40">
        <v>3</v>
      </c>
      <c r="I66" s="71"/>
      <c r="J66" s="71"/>
      <c r="K66" s="71"/>
      <c r="L66" s="71"/>
      <c r="M66" s="71"/>
      <c r="N66" s="71"/>
      <c r="O66" s="71"/>
      <c r="P66" s="71"/>
      <c r="Q66" s="72">
        <v>21</v>
      </c>
    </row>
    <row r="67" spans="1:17" ht="58">
      <c r="A67" s="40" t="s">
        <v>3</v>
      </c>
      <c r="B67" s="69" t="s">
        <v>1311</v>
      </c>
      <c r="C67" s="40" t="s">
        <v>1292</v>
      </c>
      <c r="D67" s="70" t="s">
        <v>1307</v>
      </c>
      <c r="E67" s="40"/>
      <c r="F67" s="40"/>
      <c r="G67" s="40"/>
      <c r="H67" s="40">
        <v>1</v>
      </c>
      <c r="I67" s="71"/>
      <c r="J67" s="71"/>
      <c r="K67" s="71"/>
      <c r="L67" s="71"/>
      <c r="M67" s="71"/>
      <c r="N67" s="71"/>
      <c r="O67" s="71"/>
      <c r="P67" s="71"/>
      <c r="Q67" s="72">
        <v>1</v>
      </c>
    </row>
    <row r="68" spans="1:17" ht="29">
      <c r="A68" s="40" t="s">
        <v>3</v>
      </c>
      <c r="B68" s="69" t="s">
        <v>1291</v>
      </c>
      <c r="C68" s="40" t="s">
        <v>1292</v>
      </c>
      <c r="D68" s="70" t="s">
        <v>1293</v>
      </c>
      <c r="E68" s="40">
        <v>1</v>
      </c>
      <c r="F68" s="40"/>
      <c r="G68" s="40">
        <v>4</v>
      </c>
      <c r="H68" s="40">
        <v>1</v>
      </c>
      <c r="I68" s="71"/>
      <c r="J68" s="71"/>
      <c r="K68" s="71"/>
      <c r="L68" s="71"/>
      <c r="M68" s="71"/>
      <c r="N68" s="71"/>
      <c r="O68" s="71"/>
      <c r="P68" s="71"/>
      <c r="Q68" s="72">
        <v>6</v>
      </c>
    </row>
    <row r="69" spans="1:17" ht="43.5">
      <c r="A69" s="40" t="s">
        <v>3</v>
      </c>
      <c r="B69" s="69" t="s">
        <v>1294</v>
      </c>
      <c r="C69" s="40" t="s">
        <v>1295</v>
      </c>
      <c r="D69" s="70" t="s">
        <v>1296</v>
      </c>
      <c r="E69" s="40">
        <v>5</v>
      </c>
      <c r="F69" s="40">
        <v>3</v>
      </c>
      <c r="G69" s="40"/>
      <c r="H69" s="40">
        <v>2</v>
      </c>
      <c r="I69" s="71"/>
      <c r="J69" s="71"/>
      <c r="K69" s="71"/>
      <c r="L69" s="71"/>
      <c r="M69" s="71"/>
      <c r="N69" s="71"/>
      <c r="O69" s="71"/>
      <c r="P69" s="71"/>
      <c r="Q69" s="72">
        <v>10</v>
      </c>
    </row>
    <row r="70" spans="1:17" ht="43.5">
      <c r="A70" s="40" t="s">
        <v>3</v>
      </c>
      <c r="B70" s="69" t="s">
        <v>1297</v>
      </c>
      <c r="C70" s="40" t="s">
        <v>1295</v>
      </c>
      <c r="D70" s="70" t="s">
        <v>1298</v>
      </c>
      <c r="E70" s="40">
        <v>1</v>
      </c>
      <c r="F70" s="40"/>
      <c r="G70" s="40"/>
      <c r="H70" s="40"/>
      <c r="I70" s="71"/>
      <c r="J70" s="71"/>
      <c r="K70" s="71"/>
      <c r="L70" s="71"/>
      <c r="M70" s="71"/>
      <c r="N70" s="71"/>
      <c r="O70" s="71"/>
      <c r="P70" s="71"/>
      <c r="Q70" s="72">
        <v>1</v>
      </c>
    </row>
    <row r="71" spans="1:17" ht="29">
      <c r="A71" s="40" t="s">
        <v>3</v>
      </c>
      <c r="B71" s="69" t="s">
        <v>1299</v>
      </c>
      <c r="C71" s="40" t="s">
        <v>1295</v>
      </c>
      <c r="D71" s="70" t="s">
        <v>1300</v>
      </c>
      <c r="E71" s="40">
        <v>3</v>
      </c>
      <c r="F71" s="40">
        <v>2</v>
      </c>
      <c r="G71" s="40">
        <v>8</v>
      </c>
      <c r="H71" s="40">
        <v>8</v>
      </c>
      <c r="I71" s="71"/>
      <c r="J71" s="71"/>
      <c r="K71" s="71"/>
      <c r="L71" s="71"/>
      <c r="M71" s="71"/>
      <c r="N71" s="71"/>
      <c r="O71" s="71"/>
      <c r="P71" s="71"/>
      <c r="Q71" s="72">
        <v>21</v>
      </c>
    </row>
    <row r="72" spans="1:17" ht="29">
      <c r="A72" s="40" t="s">
        <v>3</v>
      </c>
      <c r="B72" s="69" t="s">
        <v>1301</v>
      </c>
      <c r="C72" s="40" t="s">
        <v>1292</v>
      </c>
      <c r="D72" s="70" t="s">
        <v>1293</v>
      </c>
      <c r="E72" s="40">
        <v>1</v>
      </c>
      <c r="F72" s="40">
        <v>4</v>
      </c>
      <c r="G72" s="40">
        <v>2</v>
      </c>
      <c r="H72" s="40">
        <v>6</v>
      </c>
      <c r="I72" s="71"/>
      <c r="J72" s="71"/>
      <c r="K72" s="71"/>
      <c r="L72" s="71"/>
      <c r="M72" s="71"/>
      <c r="N72" s="71"/>
      <c r="O72" s="71"/>
      <c r="P72" s="71"/>
      <c r="Q72" s="72">
        <v>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18"/>
  <sheetViews>
    <sheetView zoomScale="85" zoomScaleNormal="85" workbookViewId="0">
      <selection activeCell="A15" sqref="A15:E18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4" t="s">
        <v>117</v>
      </c>
      <c r="B2" s="54" t="s">
        <v>6</v>
      </c>
      <c r="C2" s="37" t="s">
        <v>1209</v>
      </c>
      <c r="D2" s="37" t="s">
        <v>1210</v>
      </c>
      <c r="E2" s="37" t="s">
        <v>1208</v>
      </c>
    </row>
    <row r="3" spans="1:5" s="24" customFormat="1">
      <c r="A3" s="60" t="s">
        <v>2</v>
      </c>
      <c r="B3" s="40" t="s">
        <v>1202</v>
      </c>
      <c r="C3" s="130">
        <v>89</v>
      </c>
      <c r="D3" s="130">
        <v>3</v>
      </c>
      <c r="E3" s="62">
        <v>3.3707865168539325E-2</v>
      </c>
    </row>
    <row r="4" spans="1:5" s="24" customFormat="1">
      <c r="A4" s="60" t="s">
        <v>2</v>
      </c>
      <c r="B4" s="40" t="s">
        <v>1203</v>
      </c>
      <c r="C4" s="130">
        <v>107</v>
      </c>
      <c r="D4" s="130">
        <v>5</v>
      </c>
      <c r="E4" s="62">
        <v>4.6728971962616821E-2</v>
      </c>
    </row>
    <row r="5" spans="1:5" s="24" customFormat="1">
      <c r="A5" s="60" t="s">
        <v>2</v>
      </c>
      <c r="B5" s="40" t="s">
        <v>1204</v>
      </c>
      <c r="C5" s="130">
        <v>78</v>
      </c>
      <c r="D5" s="130">
        <v>7</v>
      </c>
      <c r="E5" s="62">
        <v>8.9743589743589744E-2</v>
      </c>
    </row>
    <row r="6" spans="1:5" s="24" customFormat="1">
      <c r="A6" s="60" t="s">
        <v>2</v>
      </c>
      <c r="B6" s="40" t="s">
        <v>1205</v>
      </c>
      <c r="C6" s="130">
        <v>65</v>
      </c>
      <c r="D6" s="130">
        <v>4</v>
      </c>
      <c r="E6" s="62">
        <v>6.1538461538461542E-2</v>
      </c>
    </row>
    <row r="7" spans="1:5" s="24" customFormat="1">
      <c r="A7" s="60" t="s">
        <v>1</v>
      </c>
      <c r="B7" s="40" t="s">
        <v>1202</v>
      </c>
      <c r="C7" s="61">
        <v>90</v>
      </c>
      <c r="D7" s="61">
        <v>80</v>
      </c>
      <c r="E7" s="62">
        <v>0.88888888888888884</v>
      </c>
    </row>
    <row r="8" spans="1:5" s="24" customFormat="1">
      <c r="A8" s="60" t="s">
        <v>1</v>
      </c>
      <c r="B8" s="40" t="s">
        <v>1203</v>
      </c>
      <c r="C8" s="61">
        <v>88</v>
      </c>
      <c r="D8" s="61">
        <v>98</v>
      </c>
      <c r="E8" s="62">
        <v>1.1136363636363635</v>
      </c>
    </row>
    <row r="9" spans="1:5" s="24" customFormat="1">
      <c r="A9" s="60" t="s">
        <v>1</v>
      </c>
      <c r="B9" s="40" t="s">
        <v>1204</v>
      </c>
      <c r="C9" s="61">
        <v>100</v>
      </c>
      <c r="D9" s="61">
        <v>80</v>
      </c>
      <c r="E9" s="62">
        <v>0.8</v>
      </c>
    </row>
    <row r="10" spans="1:5" s="24" customFormat="1">
      <c r="A10" s="60" t="s">
        <v>1</v>
      </c>
      <c r="B10" s="40" t="s">
        <v>1205</v>
      </c>
      <c r="C10" s="61">
        <v>60</v>
      </c>
      <c r="D10" s="61">
        <v>69</v>
      </c>
      <c r="E10" s="62">
        <v>1.1499999999999999</v>
      </c>
    </row>
    <row r="11" spans="1:5" s="24" customFormat="1">
      <c r="A11" s="60" t="s">
        <v>4</v>
      </c>
      <c r="B11" s="40" t="s">
        <v>1202</v>
      </c>
      <c r="C11" s="61">
        <v>100</v>
      </c>
      <c r="D11" s="61">
        <v>80</v>
      </c>
      <c r="E11" s="62">
        <v>0.8</v>
      </c>
    </row>
    <row r="12" spans="1:5" s="24" customFormat="1">
      <c r="A12" s="60" t="s">
        <v>4</v>
      </c>
      <c r="B12" s="40" t="s">
        <v>1203</v>
      </c>
      <c r="C12" s="61">
        <v>60</v>
      </c>
      <c r="D12" s="61">
        <v>69</v>
      </c>
      <c r="E12" s="62">
        <v>1.1499999999999999</v>
      </c>
    </row>
    <row r="13" spans="1:5" s="24" customFormat="1">
      <c r="A13" s="60" t="s">
        <v>4</v>
      </c>
      <c r="B13" s="40" t="s">
        <v>1204</v>
      </c>
      <c r="C13" s="61">
        <v>71</v>
      </c>
      <c r="D13" s="61">
        <v>69</v>
      </c>
      <c r="E13" s="62">
        <v>0.971830985915493</v>
      </c>
    </row>
    <row r="14" spans="1:5" s="24" customFormat="1">
      <c r="A14" s="60" t="s">
        <v>4</v>
      </c>
      <c r="B14" s="40" t="s">
        <v>1205</v>
      </c>
      <c r="C14" s="61">
        <v>90</v>
      </c>
      <c r="D14" s="61">
        <v>80</v>
      </c>
      <c r="E14" s="62">
        <v>0.88888888888888884</v>
      </c>
    </row>
    <row r="15" spans="1:5">
      <c r="A15" s="60" t="s">
        <v>3</v>
      </c>
      <c r="B15" s="40" t="s">
        <v>1202</v>
      </c>
      <c r="C15" s="61">
        <v>71</v>
      </c>
      <c r="D15" s="61">
        <v>69</v>
      </c>
      <c r="E15" s="62">
        <v>0.971830985915493</v>
      </c>
    </row>
    <row r="16" spans="1:5">
      <c r="A16" s="60" t="s">
        <v>3</v>
      </c>
      <c r="B16" s="40" t="s">
        <v>1203</v>
      </c>
      <c r="C16" s="61">
        <v>90</v>
      </c>
      <c r="D16" s="61">
        <v>80</v>
      </c>
      <c r="E16" s="62">
        <v>0.88888888888888884</v>
      </c>
    </row>
    <row r="17" spans="1:5">
      <c r="A17" s="60" t="s">
        <v>3</v>
      </c>
      <c r="B17" s="40" t="s">
        <v>1204</v>
      </c>
      <c r="C17" s="61">
        <v>88</v>
      </c>
      <c r="D17" s="61">
        <v>98</v>
      </c>
      <c r="E17" s="62">
        <v>1.1136363636363635</v>
      </c>
    </row>
    <row r="18" spans="1:5">
      <c r="A18" s="60" t="s">
        <v>3</v>
      </c>
      <c r="B18" s="40" t="s">
        <v>1205</v>
      </c>
      <c r="C18" s="61">
        <v>100</v>
      </c>
      <c r="D18" s="61">
        <v>80</v>
      </c>
      <c r="E18" s="62">
        <v>0.8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1"/>
  <sheetViews>
    <sheetView topLeftCell="A9" zoomScale="85" zoomScaleNormal="85" workbookViewId="0">
      <selection activeCell="A16" sqref="A16:E20"/>
    </sheetView>
  </sheetViews>
  <sheetFormatPr defaultColWidth="8.7265625" defaultRowHeight="14.5"/>
  <cols>
    <col min="1" max="2" width="8.7265625" style="23"/>
    <col min="3" max="3" width="24.453125" style="23" customWidth="1"/>
    <col min="4" max="4" width="28.7265625" style="23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4" t="s">
        <v>117</v>
      </c>
      <c r="B2" s="54" t="s">
        <v>6</v>
      </c>
      <c r="C2" s="37" t="s">
        <v>1212</v>
      </c>
      <c r="D2" s="37" t="s">
        <v>1211</v>
      </c>
      <c r="E2" s="37" t="s">
        <v>1181</v>
      </c>
    </row>
    <row r="3" spans="1:5" s="24" customFormat="1">
      <c r="A3" s="55" t="s">
        <v>2</v>
      </c>
      <c r="B3" s="40" t="s">
        <v>1202</v>
      </c>
      <c r="C3" s="110">
        <v>534</v>
      </c>
      <c r="D3" s="56"/>
      <c r="E3" s="57"/>
    </row>
    <row r="4" spans="1:5" s="24" customFormat="1">
      <c r="A4" s="55" t="s">
        <v>2</v>
      </c>
      <c r="B4" s="40" t="s">
        <v>1203</v>
      </c>
      <c r="C4" s="110">
        <v>479</v>
      </c>
      <c r="D4" s="58"/>
      <c r="E4" s="59"/>
    </row>
    <row r="5" spans="1:5" s="24" customFormat="1">
      <c r="A5" s="55" t="s">
        <v>2</v>
      </c>
      <c r="B5" s="40" t="s">
        <v>1204</v>
      </c>
      <c r="C5" s="110">
        <v>614</v>
      </c>
      <c r="D5" s="56"/>
      <c r="E5" s="57"/>
    </row>
    <row r="6" spans="1:5" s="24" customFormat="1">
      <c r="A6" s="55" t="s">
        <v>2</v>
      </c>
      <c r="B6" s="40" t="s">
        <v>1205</v>
      </c>
      <c r="C6" s="110">
        <v>558</v>
      </c>
      <c r="D6" s="56">
        <v>35</v>
      </c>
      <c r="E6" s="62">
        <v>6.2724014336917558E-2</v>
      </c>
    </row>
    <row r="7" spans="1:5" s="24" customFormat="1">
      <c r="A7" s="55" t="s">
        <v>1</v>
      </c>
      <c r="B7" s="40" t="s">
        <v>1202</v>
      </c>
      <c r="C7" s="56"/>
      <c r="D7" s="56"/>
      <c r="E7" s="57"/>
    </row>
    <row r="8" spans="1:5" s="24" customFormat="1">
      <c r="A8" s="55" t="s">
        <v>1</v>
      </c>
      <c r="B8" s="40" t="s">
        <v>1203</v>
      </c>
      <c r="C8" s="56"/>
      <c r="D8" s="58"/>
      <c r="E8" s="59"/>
    </row>
    <row r="9" spans="1:5" s="24" customFormat="1">
      <c r="A9" s="55" t="s">
        <v>1</v>
      </c>
      <c r="B9" s="40" t="s">
        <v>1204</v>
      </c>
      <c r="C9" s="56"/>
      <c r="D9" s="56"/>
      <c r="E9" s="57"/>
    </row>
    <row r="10" spans="1:5" s="24" customFormat="1">
      <c r="A10" s="55" t="s">
        <v>1</v>
      </c>
      <c r="B10" s="40" t="s">
        <v>1205</v>
      </c>
      <c r="C10" s="56">
        <v>500</v>
      </c>
      <c r="D10" s="56">
        <v>0</v>
      </c>
      <c r="E10" s="62">
        <v>0</v>
      </c>
    </row>
    <row r="11" spans="1:5" s="24" customFormat="1">
      <c r="A11" s="55" t="s">
        <v>1</v>
      </c>
      <c r="B11" s="40" t="s">
        <v>1206</v>
      </c>
      <c r="C11" s="56">
        <v>500</v>
      </c>
      <c r="D11" s="56">
        <v>20</v>
      </c>
      <c r="E11" s="62">
        <v>0.04</v>
      </c>
    </row>
    <row r="12" spans="1:5" s="24" customFormat="1">
      <c r="A12" s="55" t="s">
        <v>4</v>
      </c>
      <c r="B12" s="40" t="s">
        <v>1203</v>
      </c>
      <c r="C12" s="56"/>
      <c r="D12" s="58"/>
      <c r="E12" s="59"/>
    </row>
    <row r="13" spans="1:5" s="24" customFormat="1">
      <c r="A13" s="55" t="s">
        <v>4</v>
      </c>
      <c r="B13" s="40" t="s">
        <v>1204</v>
      </c>
      <c r="C13" s="56"/>
      <c r="D13" s="56"/>
      <c r="E13" s="57"/>
    </row>
    <row r="14" spans="1:5" s="24" customFormat="1">
      <c r="A14" s="55" t="s">
        <v>4</v>
      </c>
      <c r="B14" s="40" t="s">
        <v>1205</v>
      </c>
      <c r="C14" s="56">
        <v>450</v>
      </c>
      <c r="D14" s="56">
        <v>0</v>
      </c>
      <c r="E14" s="62">
        <v>0</v>
      </c>
    </row>
    <row r="15" spans="1:5" s="24" customFormat="1">
      <c r="A15" s="55" t="s">
        <v>4</v>
      </c>
      <c r="B15" s="40" t="s">
        <v>1206</v>
      </c>
      <c r="C15" s="56">
        <v>450</v>
      </c>
      <c r="D15" s="56">
        <v>15</v>
      </c>
      <c r="E15" s="62">
        <v>3.3333333333333333E-2</v>
      </c>
    </row>
    <row r="16" spans="1:5" s="24" customFormat="1">
      <c r="A16" s="55" t="s">
        <v>3</v>
      </c>
      <c r="B16" s="40" t="s">
        <v>1202</v>
      </c>
      <c r="C16" s="56"/>
      <c r="D16" s="56"/>
      <c r="E16" s="57"/>
    </row>
    <row r="17" spans="1:5" s="24" customFormat="1">
      <c r="A17" s="55" t="s">
        <v>3</v>
      </c>
      <c r="B17" s="40" t="s">
        <v>1203</v>
      </c>
      <c r="C17" s="56"/>
      <c r="D17" s="58"/>
      <c r="E17" s="59"/>
    </row>
    <row r="18" spans="1:5" s="24" customFormat="1">
      <c r="A18" s="55" t="s">
        <v>3</v>
      </c>
      <c r="B18" s="40" t="s">
        <v>1204</v>
      </c>
      <c r="C18" s="56"/>
      <c r="D18" s="56"/>
      <c r="E18" s="57"/>
    </row>
    <row r="19" spans="1:5" s="24" customFormat="1">
      <c r="A19" s="55" t="s">
        <v>3</v>
      </c>
      <c r="B19" s="40" t="s">
        <v>1205</v>
      </c>
      <c r="C19" s="56">
        <v>400</v>
      </c>
      <c r="D19" s="56">
        <v>0</v>
      </c>
      <c r="E19" s="62">
        <v>0</v>
      </c>
    </row>
    <row r="20" spans="1:5" s="24" customFormat="1">
      <c r="A20" s="55" t="s">
        <v>3</v>
      </c>
      <c r="B20" s="40" t="s">
        <v>1206</v>
      </c>
      <c r="C20" s="56">
        <v>400</v>
      </c>
      <c r="D20" s="56">
        <v>20</v>
      </c>
      <c r="E20" s="62">
        <v>0.05</v>
      </c>
    </row>
    <row r="21" spans="1:5" s="24" customFormat="1">
      <c r="A21" s="55"/>
      <c r="B21" s="40"/>
      <c r="C21" s="56"/>
      <c r="D21" s="56"/>
      <c r="E21" s="6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353"/>
  <sheetViews>
    <sheetView topLeftCell="A126" zoomScale="85" zoomScaleNormal="85" workbookViewId="0">
      <selection activeCell="J139" sqref="J139"/>
    </sheetView>
  </sheetViews>
  <sheetFormatPr defaultColWidth="8.7265625" defaultRowHeight="14.5"/>
  <cols>
    <col min="1" max="1" width="7.54296875" style="47" customWidth="1"/>
    <col min="2" max="2" width="9.453125" style="47" customWidth="1"/>
    <col min="3" max="3" width="15.1796875" style="47" customWidth="1"/>
    <col min="4" max="15" width="8.7265625" style="47"/>
    <col min="16" max="16" width="9.1796875" style="53" bestFit="1" customWidth="1"/>
    <col min="17" max="16384" width="8.7265625" style="47"/>
  </cols>
  <sheetData>
    <row r="1" spans="1:16" ht="24" customHeight="1">
      <c r="A1" s="32" t="s">
        <v>119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46"/>
    </row>
    <row r="2" spans="1:16" s="38" customFormat="1" ht="24.65" customHeight="1">
      <c r="A2" s="48" t="s">
        <v>10</v>
      </c>
      <c r="B2" s="49" t="s">
        <v>5</v>
      </c>
      <c r="C2" s="48" t="s">
        <v>1207</v>
      </c>
      <c r="D2" s="50" t="s">
        <v>7</v>
      </c>
      <c r="E2" s="51" t="s">
        <v>8</v>
      </c>
      <c r="F2" s="51" t="s">
        <v>12</v>
      </c>
      <c r="G2" s="51" t="s">
        <v>13</v>
      </c>
      <c r="H2" s="51" t="s">
        <v>109</v>
      </c>
      <c r="I2" s="51" t="s">
        <v>110</v>
      </c>
      <c r="J2" s="51" t="s">
        <v>111</v>
      </c>
      <c r="K2" s="51" t="s">
        <v>112</v>
      </c>
      <c r="L2" s="51" t="s">
        <v>113</v>
      </c>
      <c r="M2" s="51" t="s">
        <v>114</v>
      </c>
      <c r="N2" s="51" t="s">
        <v>115</v>
      </c>
      <c r="O2" s="51" t="s">
        <v>116</v>
      </c>
      <c r="P2" s="52" t="s">
        <v>0</v>
      </c>
    </row>
    <row r="3" spans="1:16" s="38" customFormat="1" ht="19" customHeight="1">
      <c r="A3" s="40">
        <v>1</v>
      </c>
      <c r="B3" s="40" t="s">
        <v>2</v>
      </c>
      <c r="C3" s="119" t="s">
        <v>14</v>
      </c>
      <c r="D3" s="120">
        <v>512</v>
      </c>
      <c r="E3" s="120">
        <v>586</v>
      </c>
      <c r="F3" s="120">
        <v>611</v>
      </c>
      <c r="G3" s="120">
        <v>716</v>
      </c>
      <c r="H3" s="121"/>
      <c r="I3" s="121"/>
      <c r="J3" s="121"/>
      <c r="K3" s="121"/>
      <c r="L3" s="121"/>
      <c r="M3" s="121"/>
      <c r="N3" s="121"/>
      <c r="O3" s="121"/>
      <c r="P3" s="122">
        <v>2425</v>
      </c>
    </row>
    <row r="4" spans="1:16" s="38" customFormat="1">
      <c r="A4" s="40">
        <v>2</v>
      </c>
      <c r="B4" s="40" t="s">
        <v>2</v>
      </c>
      <c r="C4" s="119" t="s">
        <v>15</v>
      </c>
      <c r="D4" s="120">
        <v>557</v>
      </c>
      <c r="E4" s="120">
        <v>529</v>
      </c>
      <c r="F4" s="120">
        <v>562</v>
      </c>
      <c r="G4" s="120">
        <v>690</v>
      </c>
      <c r="H4" s="121"/>
      <c r="I4" s="121"/>
      <c r="J4" s="121"/>
      <c r="K4" s="121"/>
      <c r="L4" s="121"/>
      <c r="M4" s="121"/>
      <c r="N4" s="121"/>
      <c r="O4" s="121"/>
      <c r="P4" s="122">
        <v>2338</v>
      </c>
    </row>
    <row r="5" spans="1:16" s="38" customFormat="1">
      <c r="A5" s="40">
        <v>3</v>
      </c>
      <c r="B5" s="40" t="s">
        <v>2</v>
      </c>
      <c r="C5" s="119" t="s">
        <v>16</v>
      </c>
      <c r="D5" s="120">
        <v>183</v>
      </c>
      <c r="E5" s="120">
        <v>163</v>
      </c>
      <c r="F5" s="120">
        <v>223</v>
      </c>
      <c r="G5" s="120">
        <v>185</v>
      </c>
      <c r="H5" s="121"/>
      <c r="I5" s="121"/>
      <c r="J5" s="121"/>
      <c r="K5" s="121"/>
      <c r="L5" s="121"/>
      <c r="M5" s="121"/>
      <c r="N5" s="121"/>
      <c r="O5" s="121"/>
      <c r="P5" s="122">
        <v>754</v>
      </c>
    </row>
    <row r="6" spans="1:16" s="38" customFormat="1">
      <c r="A6" s="40">
        <v>4</v>
      </c>
      <c r="B6" s="40" t="s">
        <v>2</v>
      </c>
      <c r="C6" s="119" t="s">
        <v>17</v>
      </c>
      <c r="D6" s="120">
        <v>155</v>
      </c>
      <c r="E6" s="120">
        <v>144</v>
      </c>
      <c r="F6" s="120">
        <v>161</v>
      </c>
      <c r="G6" s="120">
        <v>174</v>
      </c>
      <c r="H6" s="121"/>
      <c r="I6" s="121"/>
      <c r="J6" s="121"/>
      <c r="K6" s="121"/>
      <c r="L6" s="121"/>
      <c r="M6" s="121"/>
      <c r="N6" s="121"/>
      <c r="O6" s="121"/>
      <c r="P6" s="122">
        <v>634</v>
      </c>
    </row>
    <row r="7" spans="1:16" s="38" customFormat="1">
      <c r="A7" s="40">
        <v>5</v>
      </c>
      <c r="B7" s="40" t="s">
        <v>2</v>
      </c>
      <c r="C7" s="119" t="s">
        <v>18</v>
      </c>
      <c r="D7" s="120">
        <v>148</v>
      </c>
      <c r="E7" s="120">
        <v>138</v>
      </c>
      <c r="F7" s="120">
        <v>171</v>
      </c>
      <c r="G7" s="120">
        <v>156</v>
      </c>
      <c r="H7" s="121"/>
      <c r="I7" s="121"/>
      <c r="J7" s="121"/>
      <c r="K7" s="121"/>
      <c r="L7" s="121"/>
      <c r="M7" s="121"/>
      <c r="N7" s="121"/>
      <c r="O7" s="121"/>
      <c r="P7" s="122">
        <v>613</v>
      </c>
    </row>
    <row r="8" spans="1:16" s="38" customFormat="1">
      <c r="A8" s="40">
        <v>6</v>
      </c>
      <c r="B8" s="40" t="s">
        <v>2</v>
      </c>
      <c r="C8" s="119" t="s">
        <v>19</v>
      </c>
      <c r="D8" s="120">
        <v>94</v>
      </c>
      <c r="E8" s="120">
        <v>92</v>
      </c>
      <c r="F8" s="120">
        <v>98</v>
      </c>
      <c r="G8" s="120">
        <v>129</v>
      </c>
      <c r="H8" s="121"/>
      <c r="I8" s="121"/>
      <c r="J8" s="121"/>
      <c r="K8" s="121"/>
      <c r="L8" s="121"/>
      <c r="M8" s="121"/>
      <c r="N8" s="121"/>
      <c r="O8" s="121"/>
      <c r="P8" s="122">
        <v>413</v>
      </c>
    </row>
    <row r="9" spans="1:16" s="38" customFormat="1">
      <c r="A9" s="40">
        <v>7</v>
      </c>
      <c r="B9" s="40" t="s">
        <v>2</v>
      </c>
      <c r="C9" s="119" t="s">
        <v>20</v>
      </c>
      <c r="D9" s="120">
        <v>83</v>
      </c>
      <c r="E9" s="120">
        <v>89</v>
      </c>
      <c r="F9" s="120">
        <v>92</v>
      </c>
      <c r="G9" s="120">
        <v>100</v>
      </c>
      <c r="H9" s="121"/>
      <c r="I9" s="121"/>
      <c r="J9" s="121"/>
      <c r="K9" s="121"/>
      <c r="L9" s="121"/>
      <c r="M9" s="121"/>
      <c r="N9" s="121"/>
      <c r="O9" s="121"/>
      <c r="P9" s="122">
        <v>364</v>
      </c>
    </row>
    <row r="10" spans="1:16" s="38" customFormat="1">
      <c r="A10" s="40">
        <v>8</v>
      </c>
      <c r="B10" s="40" t="s">
        <v>2</v>
      </c>
      <c r="C10" s="119" t="s">
        <v>21</v>
      </c>
      <c r="D10" s="120">
        <v>87</v>
      </c>
      <c r="E10" s="120">
        <v>85</v>
      </c>
      <c r="F10" s="120">
        <v>85</v>
      </c>
      <c r="G10" s="120">
        <v>84</v>
      </c>
      <c r="H10" s="121"/>
      <c r="I10" s="121"/>
      <c r="J10" s="121"/>
      <c r="K10" s="121"/>
      <c r="L10" s="121"/>
      <c r="M10" s="121"/>
      <c r="N10" s="121"/>
      <c r="O10" s="121"/>
      <c r="P10" s="122">
        <v>341</v>
      </c>
    </row>
    <row r="11" spans="1:16" s="38" customFormat="1">
      <c r="A11" s="40">
        <v>9</v>
      </c>
      <c r="B11" s="40" t="s">
        <v>2</v>
      </c>
      <c r="C11" s="119" t="s">
        <v>22</v>
      </c>
      <c r="D11" s="120">
        <v>56</v>
      </c>
      <c r="E11" s="120">
        <v>70</v>
      </c>
      <c r="F11" s="120">
        <v>68</v>
      </c>
      <c r="G11" s="120">
        <v>94</v>
      </c>
      <c r="H11" s="121"/>
      <c r="I11" s="121"/>
      <c r="J11" s="121"/>
      <c r="K11" s="121"/>
      <c r="L11" s="121"/>
      <c r="M11" s="121"/>
      <c r="N11" s="121"/>
      <c r="O11" s="121"/>
      <c r="P11" s="122">
        <v>288</v>
      </c>
    </row>
    <row r="12" spans="1:16" s="38" customFormat="1">
      <c r="A12" s="40">
        <v>10</v>
      </c>
      <c r="B12" s="40" t="s">
        <v>2</v>
      </c>
      <c r="C12" s="119" t="s">
        <v>23</v>
      </c>
      <c r="D12" s="120">
        <v>60</v>
      </c>
      <c r="E12" s="120">
        <v>36</v>
      </c>
      <c r="F12" s="120">
        <v>53</v>
      </c>
      <c r="G12" s="120">
        <v>48</v>
      </c>
      <c r="H12" s="121"/>
      <c r="I12" s="121"/>
      <c r="J12" s="121"/>
      <c r="K12" s="121"/>
      <c r="L12" s="121"/>
      <c r="M12" s="121"/>
      <c r="N12" s="121"/>
      <c r="O12" s="121"/>
      <c r="P12" s="122">
        <v>197</v>
      </c>
    </row>
    <row r="13" spans="1:16" s="38" customFormat="1">
      <c r="A13" s="40">
        <v>11</v>
      </c>
      <c r="B13" s="40" t="s">
        <v>2</v>
      </c>
      <c r="C13" s="119" t="s">
        <v>24</v>
      </c>
      <c r="D13" s="120">
        <v>60</v>
      </c>
      <c r="E13" s="120">
        <v>36</v>
      </c>
      <c r="F13" s="120">
        <v>54</v>
      </c>
      <c r="G13" s="120">
        <v>32</v>
      </c>
      <c r="H13" s="121"/>
      <c r="I13" s="121"/>
      <c r="J13" s="121"/>
      <c r="K13" s="121"/>
      <c r="L13" s="121"/>
      <c r="M13" s="121"/>
      <c r="N13" s="121"/>
      <c r="O13" s="121"/>
      <c r="P13" s="122">
        <v>182</v>
      </c>
    </row>
    <row r="14" spans="1:16" s="38" customFormat="1">
      <c r="A14" s="40">
        <v>12</v>
      </c>
      <c r="B14" s="40" t="s">
        <v>2</v>
      </c>
      <c r="C14" s="119" t="s">
        <v>25</v>
      </c>
      <c r="D14" s="120">
        <v>48</v>
      </c>
      <c r="E14" s="120">
        <v>34</v>
      </c>
      <c r="F14" s="120">
        <v>44</v>
      </c>
      <c r="G14" s="120">
        <v>38</v>
      </c>
      <c r="H14" s="121"/>
      <c r="I14" s="121"/>
      <c r="J14" s="121"/>
      <c r="K14" s="121"/>
      <c r="L14" s="121"/>
      <c r="M14" s="121"/>
      <c r="N14" s="121"/>
      <c r="O14" s="121"/>
      <c r="P14" s="122">
        <v>164</v>
      </c>
    </row>
    <row r="15" spans="1:16" s="38" customFormat="1">
      <c r="A15" s="40">
        <v>13</v>
      </c>
      <c r="B15" s="40" t="s">
        <v>2</v>
      </c>
      <c r="C15" s="119" t="s">
        <v>26</v>
      </c>
      <c r="D15" s="120">
        <v>37</v>
      </c>
      <c r="E15" s="120">
        <v>41</v>
      </c>
      <c r="F15" s="120">
        <v>31</v>
      </c>
      <c r="G15" s="120">
        <v>28</v>
      </c>
      <c r="H15" s="121"/>
      <c r="I15" s="121"/>
      <c r="J15" s="121"/>
      <c r="K15" s="121"/>
      <c r="L15" s="121"/>
      <c r="M15" s="121"/>
      <c r="N15" s="121"/>
      <c r="O15" s="121"/>
      <c r="P15" s="122">
        <v>137</v>
      </c>
    </row>
    <row r="16" spans="1:16" s="38" customFormat="1">
      <c r="A16" s="40">
        <v>14</v>
      </c>
      <c r="B16" s="40" t="s">
        <v>2</v>
      </c>
      <c r="C16" s="119" t="s">
        <v>27</v>
      </c>
      <c r="D16" s="120">
        <v>31</v>
      </c>
      <c r="E16" s="120">
        <v>36</v>
      </c>
      <c r="F16" s="120">
        <v>26</v>
      </c>
      <c r="G16" s="120">
        <v>30</v>
      </c>
      <c r="H16" s="121"/>
      <c r="I16" s="121"/>
      <c r="J16" s="121"/>
      <c r="K16" s="121"/>
      <c r="L16" s="121"/>
      <c r="M16" s="121"/>
      <c r="N16" s="121"/>
      <c r="O16" s="121"/>
      <c r="P16" s="122">
        <v>123</v>
      </c>
    </row>
    <row r="17" spans="1:16" s="38" customFormat="1">
      <c r="A17" s="40">
        <v>15</v>
      </c>
      <c r="B17" s="40" t="s">
        <v>2</v>
      </c>
      <c r="C17" s="119" t="s">
        <v>28</v>
      </c>
      <c r="D17" s="120">
        <v>22</v>
      </c>
      <c r="E17" s="120">
        <v>24</v>
      </c>
      <c r="F17" s="120">
        <v>29</v>
      </c>
      <c r="G17" s="120">
        <v>26</v>
      </c>
      <c r="H17" s="121"/>
      <c r="I17" s="121"/>
      <c r="J17" s="121"/>
      <c r="K17" s="121"/>
      <c r="L17" s="121"/>
      <c r="M17" s="121"/>
      <c r="N17" s="121"/>
      <c r="O17" s="121"/>
      <c r="P17" s="122">
        <v>101</v>
      </c>
    </row>
    <row r="18" spans="1:16" s="38" customFormat="1">
      <c r="A18" s="40">
        <v>16</v>
      </c>
      <c r="B18" s="40" t="s">
        <v>2</v>
      </c>
      <c r="C18" s="119" t="s">
        <v>29</v>
      </c>
      <c r="D18" s="120">
        <v>1</v>
      </c>
      <c r="E18" s="120">
        <v>6</v>
      </c>
      <c r="F18" s="120">
        <v>60</v>
      </c>
      <c r="G18" s="120">
        <v>39</v>
      </c>
      <c r="H18" s="121"/>
      <c r="I18" s="121"/>
      <c r="J18" s="121"/>
      <c r="K18" s="121"/>
      <c r="L18" s="121"/>
      <c r="M18" s="121"/>
      <c r="N18" s="121"/>
      <c r="O18" s="121"/>
      <c r="P18" s="122">
        <v>106</v>
      </c>
    </row>
    <row r="19" spans="1:16" s="38" customFormat="1">
      <c r="A19" s="40">
        <v>17</v>
      </c>
      <c r="B19" s="40" t="s">
        <v>2</v>
      </c>
      <c r="C19" s="119" t="s">
        <v>30</v>
      </c>
      <c r="D19" s="120">
        <v>22</v>
      </c>
      <c r="E19" s="120">
        <v>29</v>
      </c>
      <c r="F19" s="120">
        <v>27</v>
      </c>
      <c r="G19" s="120">
        <v>28</v>
      </c>
      <c r="H19" s="121"/>
      <c r="I19" s="121"/>
      <c r="J19" s="121"/>
      <c r="K19" s="121"/>
      <c r="L19" s="121"/>
      <c r="M19" s="121"/>
      <c r="N19" s="121"/>
      <c r="O19" s="121"/>
      <c r="P19" s="122">
        <v>106</v>
      </c>
    </row>
    <row r="20" spans="1:16" s="38" customFormat="1">
      <c r="A20" s="40">
        <v>18</v>
      </c>
      <c r="B20" s="40" t="s">
        <v>2</v>
      </c>
      <c r="C20" s="119" t="s">
        <v>31</v>
      </c>
      <c r="D20" s="120">
        <v>20</v>
      </c>
      <c r="E20" s="120">
        <v>21</v>
      </c>
      <c r="F20" s="120">
        <v>19</v>
      </c>
      <c r="G20" s="120">
        <v>24</v>
      </c>
      <c r="H20" s="121"/>
      <c r="I20" s="121"/>
      <c r="J20" s="121"/>
      <c r="K20" s="121"/>
      <c r="L20" s="121"/>
      <c r="M20" s="121"/>
      <c r="N20" s="121"/>
      <c r="O20" s="121"/>
      <c r="P20" s="122">
        <v>84</v>
      </c>
    </row>
    <row r="21" spans="1:16" s="38" customFormat="1">
      <c r="A21" s="40">
        <v>19</v>
      </c>
      <c r="B21" s="40" t="s">
        <v>2</v>
      </c>
      <c r="C21" s="119" t="s">
        <v>32</v>
      </c>
      <c r="D21" s="120">
        <v>17</v>
      </c>
      <c r="E21" s="120">
        <v>19</v>
      </c>
      <c r="F21" s="120">
        <v>19</v>
      </c>
      <c r="G21" s="120">
        <v>20</v>
      </c>
      <c r="H21" s="121"/>
      <c r="I21" s="121"/>
      <c r="J21" s="121"/>
      <c r="K21" s="121"/>
      <c r="L21" s="121"/>
      <c r="M21" s="121"/>
      <c r="N21" s="121"/>
      <c r="O21" s="121"/>
      <c r="P21" s="122">
        <v>75</v>
      </c>
    </row>
    <row r="22" spans="1:16" s="38" customFormat="1">
      <c r="A22" s="40">
        <v>20</v>
      </c>
      <c r="B22" s="40" t="s">
        <v>2</v>
      </c>
      <c r="C22" s="119" t="s">
        <v>33</v>
      </c>
      <c r="D22" s="120">
        <v>13</v>
      </c>
      <c r="E22" s="120">
        <v>28</v>
      </c>
      <c r="F22" s="120">
        <v>23</v>
      </c>
      <c r="G22" s="120">
        <v>16</v>
      </c>
      <c r="H22" s="121"/>
      <c r="I22" s="121"/>
      <c r="J22" s="121"/>
      <c r="K22" s="121"/>
      <c r="L22" s="121"/>
      <c r="M22" s="121"/>
      <c r="N22" s="121"/>
      <c r="O22" s="121"/>
      <c r="P22" s="122">
        <v>80</v>
      </c>
    </row>
    <row r="23" spans="1:16" s="38" customFormat="1">
      <c r="A23" s="40">
        <v>21</v>
      </c>
      <c r="B23" s="40" t="s">
        <v>2</v>
      </c>
      <c r="C23" s="119" t="s">
        <v>34</v>
      </c>
      <c r="D23" s="120">
        <v>22</v>
      </c>
      <c r="E23" s="120">
        <v>17</v>
      </c>
      <c r="F23" s="120">
        <v>18</v>
      </c>
      <c r="G23" s="120">
        <v>18</v>
      </c>
      <c r="H23" s="121"/>
      <c r="I23" s="121"/>
      <c r="J23" s="121"/>
      <c r="K23" s="121"/>
      <c r="L23" s="121"/>
      <c r="M23" s="121"/>
      <c r="N23" s="121"/>
      <c r="O23" s="121"/>
      <c r="P23" s="122">
        <v>75</v>
      </c>
    </row>
    <row r="24" spans="1:16" s="38" customFormat="1">
      <c r="A24" s="40">
        <v>22</v>
      </c>
      <c r="B24" s="40" t="s">
        <v>2</v>
      </c>
      <c r="C24" s="119" t="s">
        <v>35</v>
      </c>
      <c r="D24" s="120">
        <v>26</v>
      </c>
      <c r="E24" s="120">
        <v>24</v>
      </c>
      <c r="F24" s="120">
        <v>16</v>
      </c>
      <c r="G24" s="120">
        <v>11</v>
      </c>
      <c r="H24" s="121"/>
      <c r="I24" s="121"/>
      <c r="J24" s="121"/>
      <c r="K24" s="121"/>
      <c r="L24" s="121"/>
      <c r="M24" s="121"/>
      <c r="N24" s="121"/>
      <c r="O24" s="121"/>
      <c r="P24" s="122">
        <v>77</v>
      </c>
    </row>
    <row r="25" spans="1:16" s="38" customFormat="1">
      <c r="A25" s="40">
        <v>23</v>
      </c>
      <c r="B25" s="40" t="s">
        <v>2</v>
      </c>
      <c r="C25" s="119" t="s">
        <v>36</v>
      </c>
      <c r="D25" s="120">
        <v>18</v>
      </c>
      <c r="E25" s="120">
        <v>12</v>
      </c>
      <c r="F25" s="120">
        <v>12</v>
      </c>
      <c r="G25" s="120">
        <v>27</v>
      </c>
      <c r="H25" s="121"/>
      <c r="I25" s="121"/>
      <c r="J25" s="121"/>
      <c r="K25" s="121"/>
      <c r="L25" s="121"/>
      <c r="M25" s="121"/>
      <c r="N25" s="121"/>
      <c r="O25" s="121"/>
      <c r="P25" s="122">
        <v>69</v>
      </c>
    </row>
    <row r="26" spans="1:16" s="38" customFormat="1">
      <c r="A26" s="40">
        <v>24</v>
      </c>
      <c r="B26" s="40" t="s">
        <v>2</v>
      </c>
      <c r="C26" s="119" t="s">
        <v>37</v>
      </c>
      <c r="D26" s="120">
        <v>12</v>
      </c>
      <c r="E26" s="120">
        <v>16</v>
      </c>
      <c r="F26" s="120">
        <v>11</v>
      </c>
      <c r="G26" s="120">
        <v>15</v>
      </c>
      <c r="H26" s="121"/>
      <c r="I26" s="121"/>
      <c r="J26" s="121"/>
      <c r="K26" s="121"/>
      <c r="L26" s="121"/>
      <c r="M26" s="121"/>
      <c r="N26" s="121"/>
      <c r="O26" s="121"/>
      <c r="P26" s="122">
        <v>54</v>
      </c>
    </row>
    <row r="27" spans="1:16" s="38" customFormat="1">
      <c r="A27" s="40">
        <v>25</v>
      </c>
      <c r="B27" s="40" t="s">
        <v>2</v>
      </c>
      <c r="C27" s="119" t="s">
        <v>38</v>
      </c>
      <c r="D27" s="120">
        <v>6</v>
      </c>
      <c r="E27" s="120">
        <v>11</v>
      </c>
      <c r="F27" s="120">
        <v>17</v>
      </c>
      <c r="G27" s="120">
        <v>17</v>
      </c>
      <c r="H27" s="121"/>
      <c r="I27" s="121"/>
      <c r="J27" s="121"/>
      <c r="K27" s="121"/>
      <c r="L27" s="121"/>
      <c r="M27" s="121"/>
      <c r="N27" s="121"/>
      <c r="O27" s="121"/>
      <c r="P27" s="122">
        <v>51</v>
      </c>
    </row>
    <row r="28" spans="1:16" s="38" customFormat="1">
      <c r="A28" s="40">
        <v>26</v>
      </c>
      <c r="B28" s="40" t="s">
        <v>2</v>
      </c>
      <c r="C28" s="119" t="s">
        <v>39</v>
      </c>
      <c r="D28" s="120">
        <v>16</v>
      </c>
      <c r="E28" s="120">
        <v>17</v>
      </c>
      <c r="F28" s="120">
        <v>12</v>
      </c>
      <c r="G28" s="120">
        <v>5</v>
      </c>
      <c r="H28" s="121"/>
      <c r="I28" s="121"/>
      <c r="J28" s="121"/>
      <c r="K28" s="121"/>
      <c r="L28" s="121"/>
      <c r="M28" s="121"/>
      <c r="N28" s="121"/>
      <c r="O28" s="121"/>
      <c r="P28" s="122">
        <v>50</v>
      </c>
    </row>
    <row r="29" spans="1:16" s="38" customFormat="1">
      <c r="A29" s="40">
        <v>27</v>
      </c>
      <c r="B29" s="40" t="s">
        <v>2</v>
      </c>
      <c r="C29" s="119" t="s">
        <v>40</v>
      </c>
      <c r="D29" s="120">
        <v>8</v>
      </c>
      <c r="E29" s="120">
        <v>15</v>
      </c>
      <c r="F29" s="120">
        <v>9</v>
      </c>
      <c r="G29" s="120">
        <v>17</v>
      </c>
      <c r="H29" s="121"/>
      <c r="I29" s="121"/>
      <c r="J29" s="121"/>
      <c r="K29" s="121"/>
      <c r="L29" s="121"/>
      <c r="M29" s="121"/>
      <c r="N29" s="121"/>
      <c r="O29" s="121"/>
      <c r="P29" s="122">
        <v>49</v>
      </c>
    </row>
    <row r="30" spans="1:16" s="38" customFormat="1">
      <c r="A30" s="40">
        <v>28</v>
      </c>
      <c r="B30" s="40" t="s">
        <v>2</v>
      </c>
      <c r="C30" s="119" t="s">
        <v>41</v>
      </c>
      <c r="D30" s="120">
        <v>10</v>
      </c>
      <c r="E30" s="120">
        <v>10</v>
      </c>
      <c r="F30" s="120">
        <v>12</v>
      </c>
      <c r="G30" s="120">
        <v>15</v>
      </c>
      <c r="H30" s="121"/>
      <c r="I30" s="121"/>
      <c r="J30" s="121"/>
      <c r="K30" s="121"/>
      <c r="L30" s="121"/>
      <c r="M30" s="121"/>
      <c r="N30" s="121"/>
      <c r="O30" s="121"/>
      <c r="P30" s="122">
        <v>47</v>
      </c>
    </row>
    <row r="31" spans="1:16" s="38" customFormat="1">
      <c r="A31" s="40">
        <v>29</v>
      </c>
      <c r="B31" s="40" t="s">
        <v>2</v>
      </c>
      <c r="C31" s="119" t="s">
        <v>42</v>
      </c>
      <c r="D31" s="120">
        <v>10</v>
      </c>
      <c r="E31" s="120">
        <v>12</v>
      </c>
      <c r="F31" s="120">
        <v>17</v>
      </c>
      <c r="G31" s="120">
        <v>5</v>
      </c>
      <c r="H31" s="121"/>
      <c r="I31" s="121"/>
      <c r="J31" s="121"/>
      <c r="K31" s="121"/>
      <c r="L31" s="121"/>
      <c r="M31" s="121"/>
      <c r="N31" s="121"/>
      <c r="O31" s="121"/>
      <c r="P31" s="122">
        <v>44</v>
      </c>
    </row>
    <row r="32" spans="1:16" s="38" customFormat="1">
      <c r="A32" s="40">
        <v>30</v>
      </c>
      <c r="B32" s="40" t="s">
        <v>2</v>
      </c>
      <c r="C32" s="119" t="s">
        <v>43</v>
      </c>
      <c r="D32" s="120">
        <v>17</v>
      </c>
      <c r="E32" s="120">
        <v>11</v>
      </c>
      <c r="F32" s="120">
        <v>8</v>
      </c>
      <c r="G32" s="120">
        <v>7</v>
      </c>
      <c r="H32" s="121"/>
      <c r="I32" s="121"/>
      <c r="J32" s="121"/>
      <c r="K32" s="121"/>
      <c r="L32" s="121"/>
      <c r="M32" s="121"/>
      <c r="N32" s="121"/>
      <c r="O32" s="121"/>
      <c r="P32" s="122">
        <v>43</v>
      </c>
    </row>
    <row r="33" spans="1:16" s="38" customFormat="1">
      <c r="A33" s="40">
        <v>31</v>
      </c>
      <c r="B33" s="40" t="s">
        <v>2</v>
      </c>
      <c r="C33" s="119" t="s">
        <v>44</v>
      </c>
      <c r="D33" s="120">
        <v>12</v>
      </c>
      <c r="E33" s="120">
        <v>12</v>
      </c>
      <c r="F33" s="120">
        <v>10</v>
      </c>
      <c r="G33" s="120">
        <v>8</v>
      </c>
      <c r="H33" s="121"/>
      <c r="I33" s="121"/>
      <c r="J33" s="121"/>
      <c r="K33" s="121"/>
      <c r="L33" s="121"/>
      <c r="M33" s="121"/>
      <c r="N33" s="121"/>
      <c r="O33" s="121"/>
      <c r="P33" s="122">
        <v>42</v>
      </c>
    </row>
    <row r="34" spans="1:16" s="38" customFormat="1">
      <c r="A34" s="40">
        <v>32</v>
      </c>
      <c r="B34" s="40" t="s">
        <v>2</v>
      </c>
      <c r="C34" s="119" t="s">
        <v>45</v>
      </c>
      <c r="D34" s="120">
        <v>9</v>
      </c>
      <c r="E34" s="120">
        <v>8</v>
      </c>
      <c r="F34" s="120">
        <v>10</v>
      </c>
      <c r="G34" s="120">
        <v>11</v>
      </c>
      <c r="H34" s="121"/>
      <c r="I34" s="121"/>
      <c r="J34" s="121"/>
      <c r="K34" s="121"/>
      <c r="L34" s="121"/>
      <c r="M34" s="121"/>
      <c r="N34" s="121"/>
      <c r="O34" s="121"/>
      <c r="P34" s="122">
        <v>38</v>
      </c>
    </row>
    <row r="35" spans="1:16" s="38" customFormat="1">
      <c r="A35" s="40">
        <v>33</v>
      </c>
      <c r="B35" s="40" t="s">
        <v>2</v>
      </c>
      <c r="C35" s="119" t="s">
        <v>46</v>
      </c>
      <c r="D35" s="120">
        <v>6</v>
      </c>
      <c r="E35" s="120">
        <v>7</v>
      </c>
      <c r="F35" s="120">
        <v>10</v>
      </c>
      <c r="G35" s="120">
        <v>15</v>
      </c>
      <c r="H35" s="121"/>
      <c r="I35" s="121"/>
      <c r="J35" s="121"/>
      <c r="K35" s="121"/>
      <c r="L35" s="121"/>
      <c r="M35" s="121"/>
      <c r="N35" s="121"/>
      <c r="O35" s="121"/>
      <c r="P35" s="122">
        <v>38</v>
      </c>
    </row>
    <row r="36" spans="1:16" s="38" customFormat="1">
      <c r="A36" s="40">
        <v>34</v>
      </c>
      <c r="B36" s="40" t="s">
        <v>2</v>
      </c>
      <c r="C36" s="119" t="s">
        <v>47</v>
      </c>
      <c r="D36" s="120">
        <v>8</v>
      </c>
      <c r="E36" s="120">
        <v>7</v>
      </c>
      <c r="F36" s="120">
        <v>9</v>
      </c>
      <c r="G36" s="120">
        <v>12</v>
      </c>
      <c r="H36" s="121"/>
      <c r="I36" s="121"/>
      <c r="J36" s="121"/>
      <c r="K36" s="121"/>
      <c r="L36" s="121"/>
      <c r="M36" s="121"/>
      <c r="N36" s="121"/>
      <c r="O36" s="121"/>
      <c r="P36" s="122">
        <v>36</v>
      </c>
    </row>
    <row r="37" spans="1:16" s="38" customFormat="1">
      <c r="A37" s="40">
        <v>35</v>
      </c>
      <c r="B37" s="40" t="s">
        <v>2</v>
      </c>
      <c r="C37" s="119" t="s">
        <v>48</v>
      </c>
      <c r="D37" s="120">
        <v>6</v>
      </c>
      <c r="E37" s="120">
        <v>11</v>
      </c>
      <c r="F37" s="120">
        <v>7</v>
      </c>
      <c r="G37" s="120">
        <v>10</v>
      </c>
      <c r="H37" s="121"/>
      <c r="I37" s="121"/>
      <c r="J37" s="121"/>
      <c r="K37" s="121"/>
      <c r="L37" s="121"/>
      <c r="M37" s="121"/>
      <c r="N37" s="121"/>
      <c r="O37" s="121"/>
      <c r="P37" s="122">
        <v>34</v>
      </c>
    </row>
    <row r="38" spans="1:16" s="38" customFormat="1">
      <c r="A38" s="40">
        <v>36</v>
      </c>
      <c r="B38" s="40" t="s">
        <v>2</v>
      </c>
      <c r="C38" s="119" t="s">
        <v>49</v>
      </c>
      <c r="D38" s="120">
        <v>8</v>
      </c>
      <c r="E38" s="120">
        <v>7</v>
      </c>
      <c r="F38" s="120">
        <v>9</v>
      </c>
      <c r="G38" s="120">
        <v>8</v>
      </c>
      <c r="H38" s="121"/>
      <c r="I38" s="121"/>
      <c r="J38" s="121"/>
      <c r="K38" s="121"/>
      <c r="L38" s="121"/>
      <c r="M38" s="121"/>
      <c r="N38" s="121"/>
      <c r="O38" s="121"/>
      <c r="P38" s="122">
        <v>32</v>
      </c>
    </row>
    <row r="39" spans="1:16" s="38" customFormat="1">
      <c r="A39" s="40">
        <v>37</v>
      </c>
      <c r="B39" s="40" t="s">
        <v>2</v>
      </c>
      <c r="C39" s="119" t="s">
        <v>50</v>
      </c>
      <c r="D39" s="120">
        <v>7</v>
      </c>
      <c r="E39" s="120">
        <v>10</v>
      </c>
      <c r="F39" s="120">
        <v>8</v>
      </c>
      <c r="G39" s="120">
        <v>5</v>
      </c>
      <c r="H39" s="121"/>
      <c r="I39" s="121"/>
      <c r="J39" s="121"/>
      <c r="K39" s="121"/>
      <c r="L39" s="121"/>
      <c r="M39" s="121"/>
      <c r="N39" s="121"/>
      <c r="O39" s="121"/>
      <c r="P39" s="122">
        <v>30</v>
      </c>
    </row>
    <row r="40" spans="1:16" s="38" customFormat="1">
      <c r="A40" s="40">
        <v>38</v>
      </c>
      <c r="B40" s="40" t="s">
        <v>2</v>
      </c>
      <c r="C40" s="119" t="s">
        <v>51</v>
      </c>
      <c r="D40" s="120">
        <v>8</v>
      </c>
      <c r="E40" s="120">
        <v>4</v>
      </c>
      <c r="F40" s="120">
        <v>10</v>
      </c>
      <c r="G40" s="120">
        <v>7</v>
      </c>
      <c r="H40" s="121"/>
      <c r="I40" s="121"/>
      <c r="J40" s="121"/>
      <c r="K40" s="121"/>
      <c r="L40" s="121"/>
      <c r="M40" s="121"/>
      <c r="N40" s="121"/>
      <c r="O40" s="121"/>
      <c r="P40" s="122">
        <v>29</v>
      </c>
    </row>
    <row r="41" spans="1:16" s="38" customFormat="1">
      <c r="A41" s="40">
        <v>39</v>
      </c>
      <c r="B41" s="40" t="s">
        <v>2</v>
      </c>
      <c r="C41" s="119" t="s">
        <v>52</v>
      </c>
      <c r="D41" s="120">
        <v>9</v>
      </c>
      <c r="E41" s="120">
        <v>12</v>
      </c>
      <c r="F41" s="120">
        <v>2</v>
      </c>
      <c r="G41" s="120">
        <v>2</v>
      </c>
      <c r="H41" s="121"/>
      <c r="I41" s="121"/>
      <c r="J41" s="121"/>
      <c r="K41" s="121"/>
      <c r="L41" s="121"/>
      <c r="M41" s="121"/>
      <c r="N41" s="121"/>
      <c r="O41" s="121"/>
      <c r="P41" s="122">
        <v>25</v>
      </c>
    </row>
    <row r="42" spans="1:16" s="38" customFormat="1">
      <c r="A42" s="40">
        <v>40</v>
      </c>
      <c r="B42" s="40" t="s">
        <v>2</v>
      </c>
      <c r="C42" s="119" t="s">
        <v>53</v>
      </c>
      <c r="D42" s="120">
        <v>5</v>
      </c>
      <c r="E42" s="120">
        <v>7</v>
      </c>
      <c r="F42" s="120">
        <v>6</v>
      </c>
      <c r="G42" s="120">
        <v>5</v>
      </c>
      <c r="H42" s="121"/>
      <c r="I42" s="121"/>
      <c r="J42" s="121"/>
      <c r="K42" s="121"/>
      <c r="L42" s="121"/>
      <c r="M42" s="121"/>
      <c r="N42" s="121"/>
      <c r="O42" s="121"/>
      <c r="P42" s="122">
        <v>23</v>
      </c>
    </row>
    <row r="43" spans="1:16" s="38" customFormat="1">
      <c r="A43" s="40">
        <v>41</v>
      </c>
      <c r="B43" s="40" t="s">
        <v>2</v>
      </c>
      <c r="C43" s="119" t="s">
        <v>54</v>
      </c>
      <c r="D43" s="120">
        <v>15</v>
      </c>
      <c r="E43" s="120">
        <v>2</v>
      </c>
      <c r="F43" s="120">
        <v>6</v>
      </c>
      <c r="G43" s="120">
        <v>1</v>
      </c>
      <c r="H43" s="121"/>
      <c r="I43" s="121"/>
      <c r="J43" s="121"/>
      <c r="K43" s="121"/>
      <c r="L43" s="121"/>
      <c r="M43" s="121"/>
      <c r="N43" s="121"/>
      <c r="O43" s="121"/>
      <c r="P43" s="122">
        <v>24</v>
      </c>
    </row>
    <row r="44" spans="1:16" s="38" customFormat="1">
      <c r="A44" s="40">
        <v>42</v>
      </c>
      <c r="B44" s="40" t="s">
        <v>2</v>
      </c>
      <c r="C44" s="119" t="s">
        <v>55</v>
      </c>
      <c r="D44" s="120">
        <v>4</v>
      </c>
      <c r="E44" s="120">
        <v>3</v>
      </c>
      <c r="F44" s="120">
        <v>7</v>
      </c>
      <c r="G44" s="120">
        <v>8</v>
      </c>
      <c r="H44" s="121"/>
      <c r="I44" s="121"/>
      <c r="J44" s="121"/>
      <c r="K44" s="121"/>
      <c r="L44" s="121"/>
      <c r="M44" s="121"/>
      <c r="N44" s="121"/>
      <c r="O44" s="121"/>
      <c r="P44" s="122">
        <v>22</v>
      </c>
    </row>
    <row r="45" spans="1:16" s="38" customFormat="1">
      <c r="A45" s="40">
        <v>43</v>
      </c>
      <c r="B45" s="40" t="s">
        <v>2</v>
      </c>
      <c r="C45" s="119" t="s">
        <v>56</v>
      </c>
      <c r="D45" s="120">
        <v>4</v>
      </c>
      <c r="E45" s="120">
        <v>5</v>
      </c>
      <c r="F45" s="120">
        <v>9</v>
      </c>
      <c r="G45" s="120">
        <v>3</v>
      </c>
      <c r="H45" s="121"/>
      <c r="I45" s="121"/>
      <c r="J45" s="121"/>
      <c r="K45" s="121"/>
      <c r="L45" s="121"/>
      <c r="M45" s="121"/>
      <c r="N45" s="121"/>
      <c r="O45" s="121"/>
      <c r="P45" s="122">
        <v>21</v>
      </c>
    </row>
    <row r="46" spans="1:16" s="38" customFormat="1">
      <c r="A46" s="40">
        <v>44</v>
      </c>
      <c r="B46" s="40" t="s">
        <v>2</v>
      </c>
      <c r="C46" s="119" t="s">
        <v>57</v>
      </c>
      <c r="D46" s="120">
        <v>6</v>
      </c>
      <c r="E46" s="120">
        <v>2</v>
      </c>
      <c r="F46" s="120">
        <v>3</v>
      </c>
      <c r="G46" s="120">
        <v>9</v>
      </c>
      <c r="H46" s="121"/>
      <c r="I46" s="121"/>
      <c r="J46" s="121"/>
      <c r="K46" s="121"/>
      <c r="L46" s="121"/>
      <c r="M46" s="121"/>
      <c r="N46" s="121"/>
      <c r="O46" s="121"/>
      <c r="P46" s="122">
        <v>20</v>
      </c>
    </row>
    <row r="47" spans="1:16" s="38" customFormat="1">
      <c r="A47" s="40">
        <v>45</v>
      </c>
      <c r="B47" s="40" t="s">
        <v>2</v>
      </c>
      <c r="C47" s="119" t="s">
        <v>58</v>
      </c>
      <c r="D47" s="120">
        <v>3</v>
      </c>
      <c r="E47" s="120">
        <v>3</v>
      </c>
      <c r="F47" s="120">
        <v>7</v>
      </c>
      <c r="G47" s="120">
        <v>6</v>
      </c>
      <c r="H47" s="121"/>
      <c r="I47" s="121"/>
      <c r="J47" s="121"/>
      <c r="K47" s="121"/>
      <c r="L47" s="121"/>
      <c r="M47" s="121"/>
      <c r="N47" s="121"/>
      <c r="O47" s="121"/>
      <c r="P47" s="122">
        <v>19</v>
      </c>
    </row>
    <row r="48" spans="1:16" s="38" customFormat="1">
      <c r="A48" s="40">
        <v>46</v>
      </c>
      <c r="B48" s="40" t="s">
        <v>2</v>
      </c>
      <c r="C48" s="119" t="s">
        <v>59</v>
      </c>
      <c r="D48" s="120">
        <v>2</v>
      </c>
      <c r="E48" s="120">
        <v>6</v>
      </c>
      <c r="F48" s="120">
        <v>4</v>
      </c>
      <c r="G48" s="120">
        <v>6</v>
      </c>
      <c r="H48" s="121"/>
      <c r="I48" s="121"/>
      <c r="J48" s="121"/>
      <c r="K48" s="121"/>
      <c r="L48" s="121"/>
      <c r="M48" s="121"/>
      <c r="N48" s="121"/>
      <c r="O48" s="121"/>
      <c r="P48" s="122">
        <v>18</v>
      </c>
    </row>
    <row r="49" spans="1:16" s="38" customFormat="1">
      <c r="A49" s="40">
        <v>47</v>
      </c>
      <c r="B49" s="40" t="s">
        <v>2</v>
      </c>
      <c r="C49" s="119" t="s">
        <v>60</v>
      </c>
      <c r="D49" s="120">
        <v>7</v>
      </c>
      <c r="E49" s="120">
        <v>3</v>
      </c>
      <c r="F49" s="120">
        <v>5</v>
      </c>
      <c r="G49" s="120">
        <v>3</v>
      </c>
      <c r="H49" s="121"/>
      <c r="I49" s="121"/>
      <c r="J49" s="121"/>
      <c r="K49" s="121"/>
      <c r="L49" s="121"/>
      <c r="M49" s="121"/>
      <c r="N49" s="121"/>
      <c r="O49" s="121"/>
      <c r="P49" s="122">
        <v>18</v>
      </c>
    </row>
    <row r="50" spans="1:16" s="38" customFormat="1">
      <c r="A50" s="40">
        <v>48</v>
      </c>
      <c r="B50" s="40" t="s">
        <v>2</v>
      </c>
      <c r="C50" s="119" t="s">
        <v>61</v>
      </c>
      <c r="D50" s="120">
        <v>5</v>
      </c>
      <c r="E50" s="120">
        <v>4</v>
      </c>
      <c r="F50" s="120">
        <v>4</v>
      </c>
      <c r="G50" s="120">
        <v>5</v>
      </c>
      <c r="H50" s="121"/>
      <c r="I50" s="121"/>
      <c r="J50" s="121"/>
      <c r="K50" s="121"/>
      <c r="L50" s="121"/>
      <c r="M50" s="121"/>
      <c r="N50" s="121"/>
      <c r="O50" s="121"/>
      <c r="P50" s="122">
        <v>18</v>
      </c>
    </row>
    <row r="51" spans="1:16" s="38" customFormat="1">
      <c r="A51" s="40">
        <v>49</v>
      </c>
      <c r="B51" s="40" t="s">
        <v>2</v>
      </c>
      <c r="C51" s="119" t="s">
        <v>62</v>
      </c>
      <c r="D51" s="120">
        <v>5</v>
      </c>
      <c r="E51" s="120">
        <v>4</v>
      </c>
      <c r="F51" s="120">
        <v>5</v>
      </c>
      <c r="G51" s="120">
        <v>3</v>
      </c>
      <c r="H51" s="121"/>
      <c r="I51" s="121"/>
      <c r="J51" s="121"/>
      <c r="K51" s="121"/>
      <c r="L51" s="121"/>
      <c r="M51" s="121"/>
      <c r="N51" s="121"/>
      <c r="O51" s="121"/>
      <c r="P51" s="122">
        <v>17</v>
      </c>
    </row>
    <row r="52" spans="1:16" s="38" customFormat="1">
      <c r="A52" s="40">
        <v>50</v>
      </c>
      <c r="B52" s="40" t="s">
        <v>2</v>
      </c>
      <c r="C52" s="119" t="s">
        <v>63</v>
      </c>
      <c r="D52" s="120">
        <v>1</v>
      </c>
      <c r="E52" s="120">
        <v>5</v>
      </c>
      <c r="F52" s="120">
        <v>4</v>
      </c>
      <c r="G52" s="120">
        <v>5</v>
      </c>
      <c r="H52" s="121"/>
      <c r="I52" s="121"/>
      <c r="J52" s="121"/>
      <c r="K52" s="121"/>
      <c r="L52" s="121"/>
      <c r="M52" s="121"/>
      <c r="N52" s="121"/>
      <c r="O52" s="121"/>
      <c r="P52" s="122">
        <v>15</v>
      </c>
    </row>
    <row r="53" spans="1:16" s="38" customFormat="1">
      <c r="A53" s="40">
        <v>51</v>
      </c>
      <c r="B53" s="40" t="s">
        <v>2</v>
      </c>
      <c r="C53" s="119" t="s">
        <v>64</v>
      </c>
      <c r="D53" s="120">
        <v>6</v>
      </c>
      <c r="E53" s="120">
        <v>2</v>
      </c>
      <c r="F53" s="120">
        <v>5</v>
      </c>
      <c r="G53" s="120"/>
      <c r="H53" s="121"/>
      <c r="I53" s="121"/>
      <c r="J53" s="121"/>
      <c r="K53" s="121"/>
      <c r="L53" s="121"/>
      <c r="M53" s="121"/>
      <c r="N53" s="121"/>
      <c r="O53" s="121"/>
      <c r="P53" s="122">
        <v>13</v>
      </c>
    </row>
    <row r="54" spans="1:16" s="38" customFormat="1">
      <c r="A54" s="40">
        <v>52</v>
      </c>
      <c r="B54" s="40" t="s">
        <v>2</v>
      </c>
      <c r="C54" s="119" t="s">
        <v>65</v>
      </c>
      <c r="D54" s="120">
        <v>3</v>
      </c>
      <c r="E54" s="120">
        <v>1</v>
      </c>
      <c r="F54" s="120">
        <v>3</v>
      </c>
      <c r="G54" s="120">
        <v>3</v>
      </c>
      <c r="H54" s="121"/>
      <c r="I54" s="121"/>
      <c r="J54" s="121"/>
      <c r="K54" s="121"/>
      <c r="L54" s="121"/>
      <c r="M54" s="121"/>
      <c r="N54" s="121"/>
      <c r="O54" s="121"/>
      <c r="P54" s="122">
        <v>10</v>
      </c>
    </row>
    <row r="55" spans="1:16" s="38" customFormat="1">
      <c r="A55" s="40">
        <v>53</v>
      </c>
      <c r="B55" s="40" t="s">
        <v>2</v>
      </c>
      <c r="C55" s="119" t="s">
        <v>66</v>
      </c>
      <c r="D55" s="120">
        <v>3</v>
      </c>
      <c r="E55" s="120">
        <v>3</v>
      </c>
      <c r="F55" s="120">
        <v>3</v>
      </c>
      <c r="G55" s="120"/>
      <c r="H55" s="121"/>
      <c r="I55" s="121"/>
      <c r="J55" s="121"/>
      <c r="K55" s="121"/>
      <c r="L55" s="121"/>
      <c r="M55" s="121"/>
      <c r="N55" s="121"/>
      <c r="O55" s="121"/>
      <c r="P55" s="122">
        <v>9</v>
      </c>
    </row>
    <row r="56" spans="1:16" s="38" customFormat="1">
      <c r="A56" s="40">
        <v>54</v>
      </c>
      <c r="B56" s="40" t="s">
        <v>2</v>
      </c>
      <c r="C56" s="119" t="s">
        <v>67</v>
      </c>
      <c r="D56" s="120">
        <v>2</v>
      </c>
      <c r="E56" s="120">
        <v>1</v>
      </c>
      <c r="F56" s="120"/>
      <c r="G56" s="120">
        <v>6</v>
      </c>
      <c r="H56" s="121"/>
      <c r="I56" s="121"/>
      <c r="J56" s="121"/>
      <c r="K56" s="121"/>
      <c r="L56" s="121"/>
      <c r="M56" s="121"/>
      <c r="N56" s="121"/>
      <c r="O56" s="121"/>
      <c r="P56" s="122">
        <v>9</v>
      </c>
    </row>
    <row r="57" spans="1:16" s="38" customFormat="1">
      <c r="A57" s="40">
        <v>55</v>
      </c>
      <c r="B57" s="40" t="s">
        <v>2</v>
      </c>
      <c r="C57" s="119" t="s">
        <v>68</v>
      </c>
      <c r="D57" s="120">
        <v>4</v>
      </c>
      <c r="E57" s="120">
        <v>1</v>
      </c>
      <c r="F57" s="120">
        <v>1</v>
      </c>
      <c r="G57" s="120">
        <v>2</v>
      </c>
      <c r="H57" s="121"/>
      <c r="I57" s="121"/>
      <c r="J57" s="121"/>
      <c r="K57" s="121"/>
      <c r="L57" s="121"/>
      <c r="M57" s="121"/>
      <c r="N57" s="121"/>
      <c r="O57" s="121"/>
      <c r="P57" s="122">
        <v>8</v>
      </c>
    </row>
    <row r="58" spans="1:16" s="38" customFormat="1">
      <c r="A58" s="40">
        <v>56</v>
      </c>
      <c r="B58" s="40" t="s">
        <v>2</v>
      </c>
      <c r="C58" s="119" t="s">
        <v>69</v>
      </c>
      <c r="D58" s="120"/>
      <c r="E58" s="120">
        <v>2</v>
      </c>
      <c r="F58" s="120">
        <v>5</v>
      </c>
      <c r="G58" s="120">
        <v>1</v>
      </c>
      <c r="H58" s="121"/>
      <c r="I58" s="121"/>
      <c r="J58" s="121"/>
      <c r="K58" s="121"/>
      <c r="L58" s="121"/>
      <c r="M58" s="121"/>
      <c r="N58" s="121"/>
      <c r="O58" s="121"/>
      <c r="P58" s="122">
        <v>8</v>
      </c>
    </row>
    <row r="59" spans="1:16" s="38" customFormat="1">
      <c r="A59" s="40">
        <v>57</v>
      </c>
      <c r="B59" s="40" t="s">
        <v>2</v>
      </c>
      <c r="C59" s="119" t="s">
        <v>70</v>
      </c>
      <c r="D59" s="120">
        <v>1</v>
      </c>
      <c r="E59" s="120">
        <v>1</v>
      </c>
      <c r="F59" s="120">
        <v>1</v>
      </c>
      <c r="G59" s="120">
        <v>4</v>
      </c>
      <c r="H59" s="121"/>
      <c r="I59" s="121"/>
      <c r="J59" s="121"/>
      <c r="K59" s="121"/>
      <c r="L59" s="121"/>
      <c r="M59" s="121"/>
      <c r="N59" s="121"/>
      <c r="O59" s="121"/>
      <c r="P59" s="122">
        <v>7</v>
      </c>
    </row>
    <row r="60" spans="1:16" s="38" customFormat="1">
      <c r="A60" s="40">
        <v>58</v>
      </c>
      <c r="B60" s="40" t="s">
        <v>2</v>
      </c>
      <c r="C60" s="119" t="s">
        <v>71</v>
      </c>
      <c r="D60" s="120">
        <v>2</v>
      </c>
      <c r="E60" s="120">
        <v>2</v>
      </c>
      <c r="F60" s="120">
        <v>2</v>
      </c>
      <c r="G60" s="120">
        <v>1</v>
      </c>
      <c r="H60" s="121"/>
      <c r="I60" s="121"/>
      <c r="J60" s="121"/>
      <c r="K60" s="121"/>
      <c r="L60" s="121"/>
      <c r="M60" s="121"/>
      <c r="N60" s="121"/>
      <c r="O60" s="121"/>
      <c r="P60" s="122">
        <v>7</v>
      </c>
    </row>
    <row r="61" spans="1:16" s="38" customFormat="1">
      <c r="A61" s="40">
        <v>59</v>
      </c>
      <c r="B61" s="40" t="s">
        <v>2</v>
      </c>
      <c r="C61" s="119" t="s">
        <v>72</v>
      </c>
      <c r="D61" s="120">
        <v>1</v>
      </c>
      <c r="E61" s="120">
        <v>1</v>
      </c>
      <c r="F61" s="120">
        <v>2</v>
      </c>
      <c r="G61" s="120">
        <v>1</v>
      </c>
      <c r="H61" s="121"/>
      <c r="I61" s="121"/>
      <c r="J61" s="121"/>
      <c r="K61" s="121"/>
      <c r="L61" s="121"/>
      <c r="M61" s="121"/>
      <c r="N61" s="121"/>
      <c r="O61" s="121"/>
      <c r="P61" s="122">
        <v>5</v>
      </c>
    </row>
    <row r="62" spans="1:16" s="38" customFormat="1">
      <c r="A62" s="40">
        <v>60</v>
      </c>
      <c r="B62" s="40" t="s">
        <v>2</v>
      </c>
      <c r="C62" s="119" t="s">
        <v>73</v>
      </c>
      <c r="D62" s="120"/>
      <c r="E62" s="120">
        <v>2</v>
      </c>
      <c r="F62" s="120">
        <v>2</v>
      </c>
      <c r="G62" s="120">
        <v>2</v>
      </c>
      <c r="H62" s="121"/>
      <c r="I62" s="121"/>
      <c r="J62" s="121"/>
      <c r="K62" s="121"/>
      <c r="L62" s="121"/>
      <c r="M62" s="121"/>
      <c r="N62" s="121"/>
      <c r="O62" s="121"/>
      <c r="P62" s="122">
        <v>6</v>
      </c>
    </row>
    <row r="63" spans="1:16" s="38" customFormat="1">
      <c r="A63" s="40">
        <v>61</v>
      </c>
      <c r="B63" s="40" t="s">
        <v>2</v>
      </c>
      <c r="C63" s="119" t="s">
        <v>74</v>
      </c>
      <c r="D63" s="120">
        <v>1</v>
      </c>
      <c r="E63" s="120">
        <v>3</v>
      </c>
      <c r="F63" s="120">
        <v>1</v>
      </c>
      <c r="G63" s="120">
        <v>1</v>
      </c>
      <c r="H63" s="121"/>
      <c r="I63" s="121"/>
      <c r="J63" s="121"/>
      <c r="K63" s="121"/>
      <c r="L63" s="121"/>
      <c r="M63" s="121"/>
      <c r="N63" s="121"/>
      <c r="O63" s="121"/>
      <c r="P63" s="122">
        <v>6</v>
      </c>
    </row>
    <row r="64" spans="1:16" s="38" customFormat="1">
      <c r="A64" s="40">
        <v>62</v>
      </c>
      <c r="B64" s="40" t="s">
        <v>2</v>
      </c>
      <c r="C64" s="119" t="s">
        <v>75</v>
      </c>
      <c r="D64" s="120">
        <v>2</v>
      </c>
      <c r="E64" s="120">
        <v>1</v>
      </c>
      <c r="F64" s="120">
        <v>2</v>
      </c>
      <c r="G64" s="120"/>
      <c r="H64" s="121"/>
      <c r="I64" s="121"/>
      <c r="J64" s="121"/>
      <c r="K64" s="121"/>
      <c r="L64" s="121"/>
      <c r="M64" s="121"/>
      <c r="N64" s="121"/>
      <c r="O64" s="121"/>
      <c r="P64" s="122">
        <v>5</v>
      </c>
    </row>
    <row r="65" spans="1:16" s="38" customFormat="1">
      <c r="A65" s="40">
        <v>63</v>
      </c>
      <c r="B65" s="40" t="s">
        <v>2</v>
      </c>
      <c r="C65" s="119" t="s">
        <v>76</v>
      </c>
      <c r="D65" s="120">
        <v>2</v>
      </c>
      <c r="E65" s="120">
        <v>1</v>
      </c>
      <c r="F65" s="120">
        <v>2</v>
      </c>
      <c r="G65" s="120"/>
      <c r="H65" s="121"/>
      <c r="I65" s="121"/>
      <c r="J65" s="121"/>
      <c r="K65" s="121"/>
      <c r="L65" s="121"/>
      <c r="M65" s="121"/>
      <c r="N65" s="121"/>
      <c r="O65" s="121"/>
      <c r="P65" s="122">
        <v>5</v>
      </c>
    </row>
    <row r="66" spans="1:16" s="38" customFormat="1">
      <c r="A66" s="40">
        <v>64</v>
      </c>
      <c r="B66" s="40" t="s">
        <v>2</v>
      </c>
      <c r="C66" s="119" t="s">
        <v>77</v>
      </c>
      <c r="D66" s="120">
        <v>1</v>
      </c>
      <c r="E66" s="120">
        <v>2</v>
      </c>
      <c r="F66" s="120">
        <v>1</v>
      </c>
      <c r="G66" s="120">
        <v>1</v>
      </c>
      <c r="H66" s="121"/>
      <c r="I66" s="121"/>
      <c r="J66" s="121"/>
      <c r="K66" s="121"/>
      <c r="L66" s="121"/>
      <c r="M66" s="121"/>
      <c r="N66" s="121"/>
      <c r="O66" s="121"/>
      <c r="P66" s="122">
        <v>5</v>
      </c>
    </row>
    <row r="67" spans="1:16" s="38" customFormat="1">
      <c r="A67" s="40">
        <v>65</v>
      </c>
      <c r="B67" s="40" t="s">
        <v>2</v>
      </c>
      <c r="C67" s="119" t="s">
        <v>78</v>
      </c>
      <c r="D67" s="120">
        <v>2</v>
      </c>
      <c r="E67" s="120"/>
      <c r="F67" s="120"/>
      <c r="G67" s="120">
        <v>1</v>
      </c>
      <c r="H67" s="121"/>
      <c r="I67" s="121"/>
      <c r="J67" s="121"/>
      <c r="K67" s="121"/>
      <c r="L67" s="121"/>
      <c r="M67" s="121"/>
      <c r="N67" s="121"/>
      <c r="O67" s="121"/>
      <c r="P67" s="122">
        <v>3</v>
      </c>
    </row>
    <row r="68" spans="1:16" s="38" customFormat="1">
      <c r="A68" s="40">
        <v>66</v>
      </c>
      <c r="B68" s="40" t="s">
        <v>2</v>
      </c>
      <c r="C68" s="119" t="s">
        <v>79</v>
      </c>
      <c r="D68" s="120">
        <v>1</v>
      </c>
      <c r="E68" s="120">
        <v>1</v>
      </c>
      <c r="F68" s="120">
        <v>1</v>
      </c>
      <c r="G68" s="120">
        <v>1</v>
      </c>
      <c r="H68" s="121"/>
      <c r="I68" s="121"/>
      <c r="J68" s="121"/>
      <c r="K68" s="121"/>
      <c r="L68" s="121"/>
      <c r="M68" s="121"/>
      <c r="N68" s="121"/>
      <c r="O68" s="121"/>
      <c r="P68" s="122">
        <v>4</v>
      </c>
    </row>
    <row r="69" spans="1:16" s="38" customFormat="1">
      <c r="A69" s="40">
        <v>67</v>
      </c>
      <c r="B69" s="40" t="s">
        <v>2</v>
      </c>
      <c r="C69" s="119" t="s">
        <v>80</v>
      </c>
      <c r="D69" s="120">
        <v>1</v>
      </c>
      <c r="E69" s="120">
        <v>2</v>
      </c>
      <c r="F69" s="120">
        <v>1</v>
      </c>
      <c r="G69" s="120"/>
      <c r="H69" s="121"/>
      <c r="I69" s="121"/>
      <c r="J69" s="121"/>
      <c r="K69" s="121"/>
      <c r="L69" s="121"/>
      <c r="M69" s="121"/>
      <c r="N69" s="121"/>
      <c r="O69" s="121"/>
      <c r="P69" s="122">
        <v>4</v>
      </c>
    </row>
    <row r="70" spans="1:16" s="38" customFormat="1">
      <c r="A70" s="40">
        <v>68</v>
      </c>
      <c r="B70" s="40" t="s">
        <v>2</v>
      </c>
      <c r="C70" s="119" t="s">
        <v>81</v>
      </c>
      <c r="D70" s="120">
        <v>2</v>
      </c>
      <c r="E70" s="120"/>
      <c r="F70" s="120">
        <v>2</v>
      </c>
      <c r="G70" s="120"/>
      <c r="H70" s="121"/>
      <c r="I70" s="121"/>
      <c r="J70" s="121"/>
      <c r="K70" s="121"/>
      <c r="L70" s="121"/>
      <c r="M70" s="121"/>
      <c r="N70" s="121"/>
      <c r="O70" s="121"/>
      <c r="P70" s="122">
        <v>4</v>
      </c>
    </row>
    <row r="71" spans="1:16" s="38" customFormat="1">
      <c r="A71" s="40">
        <v>69</v>
      </c>
      <c r="B71" s="40" t="s">
        <v>2</v>
      </c>
      <c r="C71" s="119" t="s">
        <v>82</v>
      </c>
      <c r="D71" s="120">
        <v>2</v>
      </c>
      <c r="E71" s="120"/>
      <c r="F71" s="120"/>
      <c r="G71" s="120"/>
      <c r="H71" s="121"/>
      <c r="I71" s="121"/>
      <c r="J71" s="121"/>
      <c r="K71" s="121"/>
      <c r="L71" s="121"/>
      <c r="M71" s="121"/>
      <c r="N71" s="121"/>
      <c r="O71" s="121"/>
      <c r="P71" s="122">
        <v>2</v>
      </c>
    </row>
    <row r="72" spans="1:16" s="38" customFormat="1">
      <c r="A72" s="40">
        <v>70</v>
      </c>
      <c r="B72" s="40" t="s">
        <v>2</v>
      </c>
      <c r="C72" s="119" t="s">
        <v>83</v>
      </c>
      <c r="D72" s="120"/>
      <c r="E72" s="120">
        <v>2</v>
      </c>
      <c r="F72" s="120">
        <v>1</v>
      </c>
      <c r="G72" s="120"/>
      <c r="H72" s="121"/>
      <c r="I72" s="121"/>
      <c r="J72" s="121"/>
      <c r="K72" s="121"/>
      <c r="L72" s="121"/>
      <c r="M72" s="121"/>
      <c r="N72" s="121"/>
      <c r="O72" s="121"/>
      <c r="P72" s="122">
        <v>3</v>
      </c>
    </row>
    <row r="73" spans="1:16" s="38" customFormat="1">
      <c r="A73" s="40">
        <v>71</v>
      </c>
      <c r="B73" s="40" t="s">
        <v>2</v>
      </c>
      <c r="C73" s="119" t="s">
        <v>84</v>
      </c>
      <c r="D73" s="120">
        <v>1</v>
      </c>
      <c r="E73" s="120"/>
      <c r="F73" s="120">
        <v>1</v>
      </c>
      <c r="G73" s="120">
        <v>1</v>
      </c>
      <c r="H73" s="121"/>
      <c r="I73" s="121"/>
      <c r="J73" s="121"/>
      <c r="K73" s="121"/>
      <c r="L73" s="121"/>
      <c r="M73" s="121"/>
      <c r="N73" s="121"/>
      <c r="O73" s="121"/>
      <c r="P73" s="122">
        <v>3</v>
      </c>
    </row>
    <row r="74" spans="1:16" s="38" customFormat="1">
      <c r="A74" s="40">
        <v>72</v>
      </c>
      <c r="B74" s="40" t="s">
        <v>2</v>
      </c>
      <c r="C74" s="119" t="s">
        <v>85</v>
      </c>
      <c r="D74" s="120">
        <v>1</v>
      </c>
      <c r="E74" s="120"/>
      <c r="F74" s="120"/>
      <c r="G74" s="120">
        <v>2</v>
      </c>
      <c r="H74" s="121"/>
      <c r="I74" s="121"/>
      <c r="J74" s="121"/>
      <c r="K74" s="121"/>
      <c r="L74" s="121"/>
      <c r="M74" s="121"/>
      <c r="N74" s="121"/>
      <c r="O74" s="121"/>
      <c r="P74" s="122">
        <v>3</v>
      </c>
    </row>
    <row r="75" spans="1:16" s="38" customFormat="1">
      <c r="A75" s="40">
        <v>73</v>
      </c>
      <c r="B75" s="40" t="s">
        <v>2</v>
      </c>
      <c r="C75" s="119" t="s">
        <v>86</v>
      </c>
      <c r="D75" s="120">
        <v>1</v>
      </c>
      <c r="E75" s="120"/>
      <c r="F75" s="120">
        <v>2</v>
      </c>
      <c r="G75" s="120"/>
      <c r="H75" s="121"/>
      <c r="I75" s="121"/>
      <c r="J75" s="121"/>
      <c r="K75" s="121"/>
      <c r="L75" s="121"/>
      <c r="M75" s="121"/>
      <c r="N75" s="121"/>
      <c r="O75" s="121"/>
      <c r="P75" s="122">
        <v>3</v>
      </c>
    </row>
    <row r="76" spans="1:16" s="38" customFormat="1">
      <c r="A76" s="40">
        <v>74</v>
      </c>
      <c r="B76" s="40" t="s">
        <v>2</v>
      </c>
      <c r="C76" s="119" t="s">
        <v>87</v>
      </c>
      <c r="D76" s="120"/>
      <c r="E76" s="120"/>
      <c r="F76" s="120"/>
      <c r="G76" s="120">
        <v>2</v>
      </c>
      <c r="H76" s="121"/>
      <c r="I76" s="121"/>
      <c r="J76" s="121"/>
      <c r="K76" s="121"/>
      <c r="L76" s="121"/>
      <c r="M76" s="121"/>
      <c r="N76" s="121"/>
      <c r="O76" s="121"/>
      <c r="P76" s="122">
        <v>2</v>
      </c>
    </row>
    <row r="77" spans="1:16" s="38" customFormat="1">
      <c r="A77" s="40">
        <v>75</v>
      </c>
      <c r="B77" s="40" t="s">
        <v>2</v>
      </c>
      <c r="C77" s="119" t="s">
        <v>88</v>
      </c>
      <c r="D77" s="120">
        <v>2</v>
      </c>
      <c r="E77" s="120"/>
      <c r="F77" s="120"/>
      <c r="G77" s="120"/>
      <c r="H77" s="121"/>
      <c r="I77" s="121"/>
      <c r="J77" s="121"/>
      <c r="K77" s="121"/>
      <c r="L77" s="121"/>
      <c r="M77" s="121"/>
      <c r="N77" s="121"/>
      <c r="O77" s="121"/>
      <c r="P77" s="122">
        <v>2</v>
      </c>
    </row>
    <row r="78" spans="1:16" s="38" customFormat="1">
      <c r="A78" s="40">
        <v>76</v>
      </c>
      <c r="B78" s="40" t="s">
        <v>2</v>
      </c>
      <c r="C78" s="119" t="s">
        <v>89</v>
      </c>
      <c r="D78" s="120"/>
      <c r="E78" s="120">
        <v>2</v>
      </c>
      <c r="F78" s="120"/>
      <c r="G78" s="123"/>
      <c r="H78" s="121"/>
      <c r="I78" s="121"/>
      <c r="J78" s="121"/>
      <c r="K78" s="121"/>
      <c r="L78" s="121"/>
      <c r="M78" s="121"/>
      <c r="N78" s="121"/>
      <c r="O78" s="121"/>
      <c r="P78" s="122">
        <v>2</v>
      </c>
    </row>
    <row r="79" spans="1:16" s="38" customFormat="1">
      <c r="A79" s="40">
        <v>77</v>
      </c>
      <c r="B79" s="40" t="s">
        <v>2</v>
      </c>
      <c r="C79" s="119" t="s">
        <v>90</v>
      </c>
      <c r="D79" s="120"/>
      <c r="E79" s="120"/>
      <c r="F79" s="120">
        <v>2</v>
      </c>
      <c r="G79" s="120"/>
      <c r="H79" s="121"/>
      <c r="I79" s="121"/>
      <c r="J79" s="121"/>
      <c r="K79" s="121"/>
      <c r="L79" s="121"/>
      <c r="M79" s="121"/>
      <c r="N79" s="121"/>
      <c r="O79" s="121"/>
      <c r="P79" s="122">
        <v>2</v>
      </c>
    </row>
    <row r="80" spans="1:16" s="38" customFormat="1">
      <c r="A80" s="40">
        <v>78</v>
      </c>
      <c r="B80" s="40" t="s">
        <v>2</v>
      </c>
      <c r="C80" s="119" t="s">
        <v>91</v>
      </c>
      <c r="D80" s="120"/>
      <c r="E80" s="120"/>
      <c r="F80" s="120"/>
      <c r="G80" s="120">
        <v>1</v>
      </c>
      <c r="H80" s="121"/>
      <c r="I80" s="121"/>
      <c r="J80" s="121"/>
      <c r="K80" s="121"/>
      <c r="L80" s="121"/>
      <c r="M80" s="121"/>
      <c r="N80" s="121"/>
      <c r="O80" s="121"/>
      <c r="P80" s="122">
        <v>1</v>
      </c>
    </row>
    <row r="81" spans="1:16" s="38" customFormat="1">
      <c r="A81" s="124">
        <v>79</v>
      </c>
      <c r="B81" s="40" t="s">
        <v>2</v>
      </c>
      <c r="C81" s="119" t="s">
        <v>92</v>
      </c>
      <c r="D81" s="120">
        <v>1</v>
      </c>
      <c r="E81" s="120"/>
      <c r="F81" s="120"/>
      <c r="G81" s="120">
        <v>1</v>
      </c>
      <c r="H81" s="121"/>
      <c r="I81" s="121"/>
      <c r="J81" s="121"/>
      <c r="K81" s="121"/>
      <c r="L81" s="121"/>
      <c r="M81" s="121"/>
      <c r="N81" s="121"/>
      <c r="O81" s="121"/>
      <c r="P81" s="122">
        <v>2</v>
      </c>
    </row>
    <row r="82" spans="1:16" s="38" customFormat="1">
      <c r="A82" s="40">
        <v>80</v>
      </c>
      <c r="B82" s="40" t="s">
        <v>2</v>
      </c>
      <c r="C82" s="119" t="s">
        <v>93</v>
      </c>
      <c r="D82" s="120"/>
      <c r="E82" s="120">
        <v>1</v>
      </c>
      <c r="F82" s="120"/>
      <c r="G82" s="120">
        <v>1</v>
      </c>
      <c r="H82" s="121"/>
      <c r="I82" s="121"/>
      <c r="J82" s="121"/>
      <c r="K82" s="121"/>
      <c r="L82" s="121"/>
      <c r="M82" s="121"/>
      <c r="N82" s="121"/>
      <c r="O82" s="121"/>
      <c r="P82" s="122">
        <v>2</v>
      </c>
    </row>
    <row r="83" spans="1:16" s="38" customFormat="1">
      <c r="A83" s="40">
        <v>81</v>
      </c>
      <c r="B83" s="40" t="s">
        <v>2</v>
      </c>
      <c r="C83" s="119" t="s">
        <v>94</v>
      </c>
      <c r="D83" s="120"/>
      <c r="E83" s="120">
        <v>1</v>
      </c>
      <c r="F83" s="120"/>
      <c r="G83" s="120"/>
      <c r="H83" s="121"/>
      <c r="I83" s="121"/>
      <c r="J83" s="121"/>
      <c r="K83" s="121"/>
      <c r="L83" s="121"/>
      <c r="M83" s="121"/>
      <c r="N83" s="121"/>
      <c r="O83" s="121"/>
      <c r="P83" s="122">
        <v>1</v>
      </c>
    </row>
    <row r="84" spans="1:16" s="38" customFormat="1">
      <c r="A84" s="40">
        <v>82</v>
      </c>
      <c r="B84" s="40" t="s">
        <v>2</v>
      </c>
      <c r="C84" s="119" t="s">
        <v>95</v>
      </c>
      <c r="D84" s="120">
        <v>1</v>
      </c>
      <c r="E84" s="120">
        <v>1</v>
      </c>
      <c r="F84" s="120"/>
      <c r="G84" s="120"/>
      <c r="H84" s="121"/>
      <c r="I84" s="121"/>
      <c r="J84" s="121"/>
      <c r="K84" s="121"/>
      <c r="L84" s="121"/>
      <c r="M84" s="121"/>
      <c r="N84" s="121"/>
      <c r="O84" s="121"/>
      <c r="P84" s="122">
        <v>2</v>
      </c>
    </row>
    <row r="85" spans="1:16" s="38" customFormat="1">
      <c r="A85" s="40">
        <v>83</v>
      </c>
      <c r="B85" s="40" t="s">
        <v>2</v>
      </c>
      <c r="C85" s="119" t="s">
        <v>96</v>
      </c>
      <c r="D85" s="120"/>
      <c r="E85" s="120">
        <v>1</v>
      </c>
      <c r="F85" s="120"/>
      <c r="G85" s="120"/>
      <c r="H85" s="121"/>
      <c r="I85" s="121"/>
      <c r="J85" s="121"/>
      <c r="K85" s="121"/>
      <c r="L85" s="121"/>
      <c r="M85" s="121"/>
      <c r="N85" s="121"/>
      <c r="O85" s="121"/>
      <c r="P85" s="122">
        <v>1</v>
      </c>
    </row>
    <row r="86" spans="1:16" s="38" customFormat="1">
      <c r="A86" s="40">
        <v>84</v>
      </c>
      <c r="B86" s="40" t="s">
        <v>2</v>
      </c>
      <c r="C86" s="119" t="s">
        <v>97</v>
      </c>
      <c r="D86" s="120"/>
      <c r="E86" s="120"/>
      <c r="F86" s="120">
        <v>1</v>
      </c>
      <c r="G86" s="120"/>
      <c r="H86" s="121"/>
      <c r="I86" s="121"/>
      <c r="J86" s="121"/>
      <c r="K86" s="121"/>
      <c r="L86" s="121"/>
      <c r="M86" s="121"/>
      <c r="N86" s="121"/>
      <c r="O86" s="121"/>
      <c r="P86" s="122">
        <v>1</v>
      </c>
    </row>
    <row r="87" spans="1:16" s="38" customFormat="1">
      <c r="A87" s="40">
        <v>85</v>
      </c>
      <c r="B87" s="40" t="s">
        <v>2</v>
      </c>
      <c r="C87" s="119" t="s">
        <v>98</v>
      </c>
      <c r="D87" s="120"/>
      <c r="E87" s="120"/>
      <c r="F87" s="120"/>
      <c r="G87" s="120">
        <v>1</v>
      </c>
      <c r="H87" s="121"/>
      <c r="I87" s="121"/>
      <c r="J87" s="121"/>
      <c r="K87" s="121"/>
      <c r="L87" s="121"/>
      <c r="M87" s="121"/>
      <c r="N87" s="121"/>
      <c r="O87" s="121"/>
      <c r="P87" s="122">
        <v>1</v>
      </c>
    </row>
    <row r="88" spans="1:16" s="38" customFormat="1">
      <c r="A88" s="40">
        <v>86</v>
      </c>
      <c r="B88" s="40" t="s">
        <v>2</v>
      </c>
      <c r="C88" s="119" t="s">
        <v>99</v>
      </c>
      <c r="D88" s="120">
        <v>1</v>
      </c>
      <c r="E88" s="120"/>
      <c r="F88" s="120"/>
      <c r="G88" s="120"/>
      <c r="H88" s="121"/>
      <c r="I88" s="121"/>
      <c r="J88" s="121"/>
      <c r="K88" s="121"/>
      <c r="L88" s="121"/>
      <c r="M88" s="121"/>
      <c r="N88" s="121"/>
      <c r="O88" s="121"/>
      <c r="P88" s="122">
        <v>1</v>
      </c>
    </row>
    <row r="89" spans="1:16" s="38" customFormat="1">
      <c r="A89" s="40">
        <v>87</v>
      </c>
      <c r="B89" s="40" t="s">
        <v>2</v>
      </c>
      <c r="C89" s="119" t="s">
        <v>100</v>
      </c>
      <c r="D89" s="120">
        <v>1</v>
      </c>
      <c r="E89" s="120"/>
      <c r="F89" s="120"/>
      <c r="G89" s="120"/>
      <c r="H89" s="121"/>
      <c r="I89" s="121"/>
      <c r="J89" s="121"/>
      <c r="K89" s="121"/>
      <c r="L89" s="121"/>
      <c r="M89" s="121"/>
      <c r="N89" s="121"/>
      <c r="O89" s="121"/>
      <c r="P89" s="122">
        <v>1</v>
      </c>
    </row>
    <row r="90" spans="1:16" s="38" customFormat="1">
      <c r="A90" s="40">
        <v>88</v>
      </c>
      <c r="B90" s="40" t="s">
        <v>2</v>
      </c>
      <c r="C90" s="119" t="s">
        <v>101</v>
      </c>
      <c r="D90" s="120"/>
      <c r="E90" s="120">
        <v>1</v>
      </c>
      <c r="F90" s="120"/>
      <c r="G90" s="120"/>
      <c r="H90" s="121"/>
      <c r="I90" s="121"/>
      <c r="J90" s="121"/>
      <c r="K90" s="121"/>
      <c r="L90" s="121"/>
      <c r="M90" s="121"/>
      <c r="N90" s="121"/>
      <c r="O90" s="121"/>
      <c r="P90" s="122">
        <v>1</v>
      </c>
    </row>
    <row r="91" spans="1:16" s="38" customFormat="1">
      <c r="A91" s="40">
        <v>89</v>
      </c>
      <c r="B91" s="40" t="s">
        <v>2</v>
      </c>
      <c r="C91" s="119" t="s">
        <v>102</v>
      </c>
      <c r="D91" s="120"/>
      <c r="E91" s="120">
        <v>1</v>
      </c>
      <c r="F91" s="120"/>
      <c r="G91" s="120"/>
      <c r="H91" s="121"/>
      <c r="I91" s="121"/>
      <c r="J91" s="121"/>
      <c r="K91" s="121"/>
      <c r="L91" s="121"/>
      <c r="M91" s="121"/>
      <c r="N91" s="121"/>
      <c r="O91" s="121"/>
      <c r="P91" s="122">
        <v>1</v>
      </c>
    </row>
    <row r="92" spans="1:16" s="38" customFormat="1">
      <c r="A92" s="40">
        <v>90</v>
      </c>
      <c r="B92" s="40" t="s">
        <v>2</v>
      </c>
      <c r="C92" s="119" t="s">
        <v>103</v>
      </c>
      <c r="D92" s="120"/>
      <c r="E92" s="120"/>
      <c r="F92" s="120">
        <v>1</v>
      </c>
      <c r="G92" s="120"/>
      <c r="H92" s="121"/>
      <c r="I92" s="121"/>
      <c r="J92" s="121"/>
      <c r="K92" s="121"/>
      <c r="L92" s="121"/>
      <c r="M92" s="121"/>
      <c r="N92" s="121"/>
      <c r="O92" s="121"/>
      <c r="P92" s="122">
        <v>1</v>
      </c>
    </row>
    <row r="93" spans="1:16" s="38" customFormat="1">
      <c r="A93" s="40">
        <v>91</v>
      </c>
      <c r="B93" s="40" t="s">
        <v>2</v>
      </c>
      <c r="C93" s="119" t="s">
        <v>104</v>
      </c>
      <c r="D93" s="120"/>
      <c r="E93" s="120"/>
      <c r="F93" s="120"/>
      <c r="G93" s="120">
        <v>1</v>
      </c>
      <c r="H93" s="121"/>
      <c r="I93" s="121"/>
      <c r="J93" s="121"/>
      <c r="K93" s="121"/>
      <c r="L93" s="121"/>
      <c r="M93" s="121"/>
      <c r="N93" s="121"/>
      <c r="O93" s="121"/>
      <c r="P93" s="122">
        <v>1</v>
      </c>
    </row>
    <row r="94" spans="1:16" s="38" customFormat="1">
      <c r="A94" s="40">
        <v>92</v>
      </c>
      <c r="B94" s="40" t="s">
        <v>2</v>
      </c>
      <c r="C94" s="119" t="s">
        <v>105</v>
      </c>
      <c r="D94" s="120"/>
      <c r="E94" s="120"/>
      <c r="F94" s="120">
        <v>1</v>
      </c>
      <c r="G94" s="120"/>
      <c r="H94" s="121"/>
      <c r="I94" s="121"/>
      <c r="J94" s="121"/>
      <c r="K94" s="121"/>
      <c r="L94" s="121"/>
      <c r="M94" s="121"/>
      <c r="N94" s="121"/>
      <c r="O94" s="121"/>
      <c r="P94" s="122">
        <v>1</v>
      </c>
    </row>
    <row r="95" spans="1:16" s="38" customFormat="1">
      <c r="A95" s="40">
        <v>93</v>
      </c>
      <c r="B95" s="40" t="s">
        <v>2</v>
      </c>
      <c r="C95" s="119" t="s">
        <v>106</v>
      </c>
      <c r="D95" s="120"/>
      <c r="E95" s="120"/>
      <c r="F95" s="120">
        <v>1</v>
      </c>
      <c r="G95" s="120"/>
      <c r="H95" s="121"/>
      <c r="I95" s="121"/>
      <c r="J95" s="121"/>
      <c r="K95" s="121"/>
      <c r="L95" s="121"/>
      <c r="M95" s="121"/>
      <c r="N95" s="121"/>
      <c r="O95" s="121"/>
      <c r="P95" s="122">
        <v>1</v>
      </c>
    </row>
    <row r="96" spans="1:16" s="38" customFormat="1">
      <c r="A96" s="40">
        <v>94</v>
      </c>
      <c r="B96" s="40" t="s">
        <v>2</v>
      </c>
      <c r="C96" s="119" t="s">
        <v>107</v>
      </c>
      <c r="D96" s="120"/>
      <c r="E96" s="120"/>
      <c r="F96" s="120">
        <v>1</v>
      </c>
      <c r="G96" s="120"/>
      <c r="H96" s="121"/>
      <c r="I96" s="121"/>
      <c r="J96" s="121"/>
      <c r="K96" s="121"/>
      <c r="L96" s="121"/>
      <c r="M96" s="121"/>
      <c r="N96" s="121"/>
      <c r="O96" s="121"/>
      <c r="P96" s="122">
        <v>1</v>
      </c>
    </row>
    <row r="97" spans="1:16" s="38" customFormat="1">
      <c r="A97" s="40">
        <v>95</v>
      </c>
      <c r="B97" s="40" t="s">
        <v>2</v>
      </c>
      <c r="C97" s="119" t="s">
        <v>108</v>
      </c>
      <c r="D97" s="120"/>
      <c r="E97" s="120"/>
      <c r="F97" s="120">
        <v>1</v>
      </c>
      <c r="G97" s="120"/>
      <c r="H97" s="121"/>
      <c r="I97" s="121"/>
      <c r="J97" s="121"/>
      <c r="K97" s="121"/>
      <c r="L97" s="121"/>
      <c r="M97" s="121"/>
      <c r="N97" s="121"/>
      <c r="O97" s="121"/>
      <c r="P97" s="122">
        <v>1</v>
      </c>
    </row>
    <row r="98" spans="1:16" s="38" customFormat="1" ht="16">
      <c r="A98" s="40">
        <v>96</v>
      </c>
      <c r="B98" s="4" t="s">
        <v>1</v>
      </c>
      <c r="C98" s="14" t="s">
        <v>926</v>
      </c>
      <c r="D98" s="13"/>
      <c r="E98" s="13"/>
      <c r="F98" s="13">
        <v>1</v>
      </c>
      <c r="G98" s="13"/>
      <c r="H98" s="5"/>
      <c r="I98" s="5"/>
      <c r="J98" s="5"/>
      <c r="K98" s="5"/>
      <c r="L98" s="5"/>
      <c r="M98" s="5"/>
      <c r="N98" s="5"/>
      <c r="O98" s="5"/>
      <c r="P98" s="17">
        <v>1</v>
      </c>
    </row>
    <row r="99" spans="1:16" s="38" customFormat="1" ht="16">
      <c r="A99" s="40">
        <v>97</v>
      </c>
      <c r="B99" s="4" t="s">
        <v>1</v>
      </c>
      <c r="C99" s="14" t="s">
        <v>927</v>
      </c>
      <c r="D99" s="13">
        <v>2</v>
      </c>
      <c r="E99" s="13"/>
      <c r="F99" s="13"/>
      <c r="G99" s="13"/>
      <c r="H99" s="5"/>
      <c r="I99" s="5"/>
      <c r="J99" s="5"/>
      <c r="K99" s="5"/>
      <c r="L99" s="5"/>
      <c r="M99" s="5"/>
      <c r="N99" s="5"/>
      <c r="O99" s="5"/>
      <c r="P99" s="17">
        <v>2</v>
      </c>
    </row>
    <row r="100" spans="1:16" s="38" customFormat="1" ht="16">
      <c r="A100" s="40">
        <v>98</v>
      </c>
      <c r="B100" s="4" t="s">
        <v>1</v>
      </c>
      <c r="C100" s="14" t="s">
        <v>928</v>
      </c>
      <c r="D100" s="13"/>
      <c r="E100" s="13"/>
      <c r="F100" s="13">
        <v>1</v>
      </c>
      <c r="G100" s="13">
        <v>2</v>
      </c>
      <c r="H100" s="5"/>
      <c r="I100" s="5"/>
      <c r="J100" s="5"/>
      <c r="K100" s="5"/>
      <c r="L100" s="5"/>
      <c r="M100" s="5"/>
      <c r="N100" s="5"/>
      <c r="O100" s="5"/>
      <c r="P100" s="17">
        <v>3</v>
      </c>
    </row>
    <row r="101" spans="1:16" s="38" customFormat="1" ht="16">
      <c r="A101" s="40">
        <v>99</v>
      </c>
      <c r="B101" s="4" t="s">
        <v>1</v>
      </c>
      <c r="C101" s="14" t="s">
        <v>929</v>
      </c>
      <c r="D101" s="13"/>
      <c r="E101" s="13">
        <v>1</v>
      </c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1</v>
      </c>
    </row>
    <row r="102" spans="1:16" s="38" customFormat="1" ht="16">
      <c r="A102" s="40">
        <v>100</v>
      </c>
      <c r="B102" s="4" t="s">
        <v>1</v>
      </c>
      <c r="C102" s="14" t="s">
        <v>930</v>
      </c>
      <c r="D102" s="13">
        <v>3</v>
      </c>
      <c r="E102" s="13">
        <v>5</v>
      </c>
      <c r="F102" s="13">
        <v>1</v>
      </c>
      <c r="G102" s="13">
        <v>3</v>
      </c>
      <c r="H102" s="5"/>
      <c r="I102" s="5"/>
      <c r="J102" s="5"/>
      <c r="K102" s="5"/>
      <c r="L102" s="5"/>
      <c r="M102" s="5"/>
      <c r="N102" s="5"/>
      <c r="O102" s="5"/>
      <c r="P102" s="17">
        <v>12</v>
      </c>
    </row>
    <row r="103" spans="1:16" s="38" customFormat="1" ht="16">
      <c r="A103" s="40">
        <v>101</v>
      </c>
      <c r="B103" s="4" t="s">
        <v>1</v>
      </c>
      <c r="C103" s="14" t="s">
        <v>931</v>
      </c>
      <c r="D103" s="13">
        <v>8</v>
      </c>
      <c r="E103" s="13">
        <v>11</v>
      </c>
      <c r="F103" s="13">
        <v>17</v>
      </c>
      <c r="G103" s="13">
        <v>20</v>
      </c>
      <c r="H103" s="5"/>
      <c r="I103" s="5"/>
      <c r="J103" s="5"/>
      <c r="K103" s="5"/>
      <c r="L103" s="5"/>
      <c r="M103" s="5"/>
      <c r="N103" s="5"/>
      <c r="O103" s="5"/>
      <c r="P103" s="17">
        <v>56</v>
      </c>
    </row>
    <row r="104" spans="1:16" s="38" customFormat="1" ht="16">
      <c r="A104" s="40">
        <v>102</v>
      </c>
      <c r="B104" s="4" t="s">
        <v>1</v>
      </c>
      <c r="C104" s="14" t="s">
        <v>932</v>
      </c>
      <c r="D104" s="13">
        <v>5</v>
      </c>
      <c r="E104" s="13">
        <v>7</v>
      </c>
      <c r="F104" s="13">
        <v>5</v>
      </c>
      <c r="G104" s="13">
        <v>4</v>
      </c>
      <c r="H104" s="5"/>
      <c r="I104" s="5"/>
      <c r="J104" s="5"/>
      <c r="K104" s="5"/>
      <c r="L104" s="5"/>
      <c r="M104" s="5"/>
      <c r="N104" s="5"/>
      <c r="O104" s="5"/>
      <c r="P104" s="17">
        <v>21</v>
      </c>
    </row>
    <row r="105" spans="1:16" ht="16">
      <c r="A105" s="40">
        <v>103</v>
      </c>
      <c r="B105" s="4" t="s">
        <v>1</v>
      </c>
      <c r="C105" s="14" t="s">
        <v>933</v>
      </c>
      <c r="D105" s="13">
        <v>9</v>
      </c>
      <c r="E105" s="13">
        <v>14</v>
      </c>
      <c r="F105" s="13">
        <v>17</v>
      </c>
      <c r="G105" s="13">
        <v>19</v>
      </c>
      <c r="H105" s="5"/>
      <c r="I105" s="5"/>
      <c r="J105" s="5"/>
      <c r="K105" s="5"/>
      <c r="L105" s="5"/>
      <c r="M105" s="5"/>
      <c r="N105" s="5"/>
      <c r="O105" s="5"/>
      <c r="P105" s="17">
        <v>59</v>
      </c>
    </row>
    <row r="106" spans="1:16" ht="16">
      <c r="A106" s="40">
        <v>104</v>
      </c>
      <c r="B106" s="4" t="s">
        <v>1</v>
      </c>
      <c r="C106" s="14" t="s">
        <v>934</v>
      </c>
      <c r="D106" s="13"/>
      <c r="E106" s="13">
        <v>1</v>
      </c>
      <c r="F106" s="13">
        <v>2</v>
      </c>
      <c r="G106" s="13">
        <v>1</v>
      </c>
      <c r="H106" s="5"/>
      <c r="I106" s="5"/>
      <c r="J106" s="5"/>
      <c r="K106" s="5"/>
      <c r="L106" s="5"/>
      <c r="M106" s="5"/>
      <c r="N106" s="5"/>
      <c r="O106" s="5"/>
      <c r="P106" s="17">
        <v>4</v>
      </c>
    </row>
    <row r="107" spans="1:16" ht="16">
      <c r="A107" s="40">
        <v>105</v>
      </c>
      <c r="B107" s="4" t="s">
        <v>1</v>
      </c>
      <c r="C107" s="14" t="s">
        <v>935</v>
      </c>
      <c r="D107" s="13">
        <v>1</v>
      </c>
      <c r="E107" s="13"/>
      <c r="F107" s="13"/>
      <c r="G107" s="13"/>
      <c r="H107" s="5"/>
      <c r="I107" s="5"/>
      <c r="J107" s="5"/>
      <c r="K107" s="5"/>
      <c r="L107" s="5"/>
      <c r="M107" s="5"/>
      <c r="N107" s="5"/>
      <c r="O107" s="5"/>
      <c r="P107" s="17">
        <v>1</v>
      </c>
    </row>
    <row r="108" spans="1:16" ht="16">
      <c r="A108" s="40">
        <v>106</v>
      </c>
      <c r="B108" s="4" t="s">
        <v>1</v>
      </c>
      <c r="C108" s="14" t="s">
        <v>936</v>
      </c>
      <c r="D108" s="13">
        <v>1</v>
      </c>
      <c r="E108" s="13"/>
      <c r="F108" s="13"/>
      <c r="G108" s="13">
        <v>1</v>
      </c>
      <c r="H108" s="5"/>
      <c r="I108" s="5"/>
      <c r="J108" s="5"/>
      <c r="K108" s="5"/>
      <c r="L108" s="5"/>
      <c r="M108" s="5"/>
      <c r="N108" s="5"/>
      <c r="O108" s="5"/>
      <c r="P108" s="17">
        <v>2</v>
      </c>
    </row>
    <row r="109" spans="1:16" ht="16">
      <c r="A109" s="40">
        <v>107</v>
      </c>
      <c r="B109" s="4" t="s">
        <v>1</v>
      </c>
      <c r="C109" s="14" t="s">
        <v>937</v>
      </c>
      <c r="D109" s="13"/>
      <c r="E109" s="13"/>
      <c r="F109" s="13"/>
      <c r="G109" s="13">
        <v>1</v>
      </c>
      <c r="H109" s="5"/>
      <c r="I109" s="5"/>
      <c r="J109" s="5"/>
      <c r="K109" s="5"/>
      <c r="L109" s="5"/>
      <c r="M109" s="5"/>
      <c r="N109" s="5"/>
      <c r="O109" s="5"/>
      <c r="P109" s="17">
        <v>1</v>
      </c>
    </row>
    <row r="110" spans="1:16" ht="16">
      <c r="A110" s="40">
        <v>108</v>
      </c>
      <c r="B110" s="4" t="s">
        <v>1</v>
      </c>
      <c r="C110" s="14" t="s">
        <v>938</v>
      </c>
      <c r="D110" s="13">
        <v>10</v>
      </c>
      <c r="E110" s="13"/>
      <c r="F110" s="13">
        <v>5</v>
      </c>
      <c r="G110" s="13"/>
      <c r="H110" s="5"/>
      <c r="I110" s="5"/>
      <c r="J110" s="5"/>
      <c r="K110" s="5"/>
      <c r="L110" s="5"/>
      <c r="M110" s="5"/>
      <c r="N110" s="5"/>
      <c r="O110" s="5"/>
      <c r="P110" s="17">
        <v>15</v>
      </c>
    </row>
    <row r="111" spans="1:16" ht="16">
      <c r="A111" s="40">
        <v>109</v>
      </c>
      <c r="B111" s="4" t="s">
        <v>1</v>
      </c>
      <c r="C111" s="14" t="s">
        <v>939</v>
      </c>
      <c r="D111" s="13">
        <v>16</v>
      </c>
      <c r="E111" s="13">
        <v>19</v>
      </c>
      <c r="F111" s="13">
        <v>22</v>
      </c>
      <c r="G111" s="13">
        <v>13</v>
      </c>
      <c r="H111" s="5"/>
      <c r="I111" s="5"/>
      <c r="J111" s="5"/>
      <c r="K111" s="5"/>
      <c r="L111" s="5"/>
      <c r="M111" s="5"/>
      <c r="N111" s="5"/>
      <c r="O111" s="5"/>
      <c r="P111" s="17">
        <v>70</v>
      </c>
    </row>
    <row r="112" spans="1:16" ht="16">
      <c r="A112" s="40">
        <v>110</v>
      </c>
      <c r="B112" s="4" t="s">
        <v>1</v>
      </c>
      <c r="C112" s="14" t="s">
        <v>940</v>
      </c>
      <c r="D112" s="13">
        <v>8</v>
      </c>
      <c r="E112" s="13">
        <v>26</v>
      </c>
      <c r="F112" s="13">
        <v>24</v>
      </c>
      <c r="G112" s="13">
        <v>16</v>
      </c>
      <c r="H112" s="5"/>
      <c r="I112" s="5"/>
      <c r="J112" s="5"/>
      <c r="K112" s="5"/>
      <c r="L112" s="5"/>
      <c r="M112" s="5"/>
      <c r="N112" s="5"/>
      <c r="O112" s="5"/>
      <c r="P112" s="17">
        <v>74</v>
      </c>
    </row>
    <row r="113" spans="1:16" s="53" customFormat="1" ht="16">
      <c r="A113" s="40">
        <v>111</v>
      </c>
      <c r="B113" s="4" t="s">
        <v>1</v>
      </c>
      <c r="C113" s="14" t="s">
        <v>941</v>
      </c>
      <c r="D113" s="13"/>
      <c r="E113" s="13"/>
      <c r="F113" s="13">
        <v>1</v>
      </c>
      <c r="G113" s="13"/>
      <c r="H113" s="5"/>
      <c r="I113" s="5"/>
      <c r="J113" s="5"/>
      <c r="K113" s="5"/>
      <c r="L113" s="5"/>
      <c r="M113" s="5"/>
      <c r="N113" s="5"/>
      <c r="O113" s="5"/>
      <c r="P113" s="17">
        <v>1</v>
      </c>
    </row>
    <row r="114" spans="1:16" s="53" customFormat="1" ht="16">
      <c r="A114" s="40">
        <v>112</v>
      </c>
      <c r="B114" s="4" t="s">
        <v>1</v>
      </c>
      <c r="C114" s="14" t="s">
        <v>942</v>
      </c>
      <c r="D114" s="13">
        <v>1</v>
      </c>
      <c r="E114" s="13"/>
      <c r="F114" s="13">
        <v>1</v>
      </c>
      <c r="G114" s="13"/>
      <c r="H114" s="5"/>
      <c r="I114" s="5"/>
      <c r="J114" s="5"/>
      <c r="K114" s="5"/>
      <c r="L114" s="5"/>
      <c r="M114" s="5"/>
      <c r="N114" s="5"/>
      <c r="O114" s="5"/>
      <c r="P114" s="17">
        <v>2</v>
      </c>
    </row>
    <row r="115" spans="1:16" s="53" customFormat="1" ht="16">
      <c r="A115" s="40">
        <v>113</v>
      </c>
      <c r="B115" s="4" t="s">
        <v>1</v>
      </c>
      <c r="C115" s="14" t="s">
        <v>943</v>
      </c>
      <c r="D115" s="13">
        <v>69</v>
      </c>
      <c r="E115" s="13">
        <v>69</v>
      </c>
      <c r="F115" s="13">
        <v>82</v>
      </c>
      <c r="G115" s="13">
        <v>126</v>
      </c>
      <c r="H115" s="5"/>
      <c r="I115" s="5"/>
      <c r="J115" s="5"/>
      <c r="K115" s="5"/>
      <c r="L115" s="5"/>
      <c r="M115" s="5"/>
      <c r="N115" s="5"/>
      <c r="O115" s="5"/>
      <c r="P115" s="17">
        <v>346</v>
      </c>
    </row>
    <row r="116" spans="1:16" s="53" customFormat="1" ht="16">
      <c r="A116" s="40">
        <v>129</v>
      </c>
      <c r="B116" s="111" t="s">
        <v>4</v>
      </c>
      <c r="C116" s="112" t="s">
        <v>281</v>
      </c>
      <c r="D116" s="113">
        <v>3</v>
      </c>
      <c r="E116" s="113">
        <v>3</v>
      </c>
      <c r="F116" s="113">
        <v>5</v>
      </c>
      <c r="G116" s="113">
        <v>4</v>
      </c>
      <c r="H116" s="114"/>
      <c r="I116" s="114"/>
      <c r="J116" s="114"/>
      <c r="K116" s="114"/>
      <c r="L116" s="114"/>
      <c r="M116" s="114"/>
      <c r="N116" s="114"/>
      <c r="O116" s="114"/>
      <c r="P116" s="17">
        <v>15</v>
      </c>
    </row>
    <row r="117" spans="1:16" s="53" customFormat="1" ht="16">
      <c r="A117" s="40">
        <v>130</v>
      </c>
      <c r="B117" s="111" t="s">
        <v>4</v>
      </c>
      <c r="C117" s="112" t="s">
        <v>282</v>
      </c>
      <c r="D117" s="113">
        <v>2</v>
      </c>
      <c r="E117" s="113">
        <v>4</v>
      </c>
      <c r="F117" s="113">
        <v>6</v>
      </c>
      <c r="G117" s="113">
        <v>2</v>
      </c>
      <c r="H117" s="114"/>
      <c r="I117" s="114"/>
      <c r="J117" s="114"/>
      <c r="K117" s="114"/>
      <c r="L117" s="114"/>
      <c r="M117" s="114"/>
      <c r="N117" s="114"/>
      <c r="O117" s="114"/>
      <c r="P117" s="17">
        <v>14</v>
      </c>
    </row>
    <row r="118" spans="1:16" s="53" customFormat="1" ht="16">
      <c r="A118" s="40">
        <v>131</v>
      </c>
      <c r="B118" s="111" t="s">
        <v>4</v>
      </c>
      <c r="C118" s="112" t="s">
        <v>283</v>
      </c>
      <c r="D118" s="113">
        <v>163</v>
      </c>
      <c r="E118" s="113">
        <v>228</v>
      </c>
      <c r="F118" s="113">
        <v>290</v>
      </c>
      <c r="G118" s="113">
        <v>216</v>
      </c>
      <c r="H118" s="114"/>
      <c r="I118" s="114"/>
      <c r="J118" s="114"/>
      <c r="K118" s="114"/>
      <c r="L118" s="114"/>
      <c r="M118" s="114"/>
      <c r="N118" s="114"/>
      <c r="O118" s="114"/>
      <c r="P118" s="17">
        <v>897</v>
      </c>
    </row>
    <row r="119" spans="1:16" s="53" customFormat="1" ht="16">
      <c r="A119" s="40">
        <v>132</v>
      </c>
      <c r="B119" s="111" t="s">
        <v>4</v>
      </c>
      <c r="C119" s="112" t="s">
        <v>123</v>
      </c>
      <c r="D119" s="113">
        <v>4</v>
      </c>
      <c r="E119" s="113">
        <v>3</v>
      </c>
      <c r="F119" s="113">
        <v>2</v>
      </c>
      <c r="G119" s="113">
        <v>3</v>
      </c>
      <c r="H119" s="114"/>
      <c r="I119" s="114"/>
      <c r="J119" s="114"/>
      <c r="K119" s="114"/>
      <c r="L119" s="114"/>
      <c r="M119" s="114"/>
      <c r="N119" s="114"/>
      <c r="O119" s="114"/>
      <c r="P119" s="17">
        <v>12</v>
      </c>
    </row>
    <row r="120" spans="1:16" s="53" customFormat="1" ht="16">
      <c r="A120" s="40">
        <v>133</v>
      </c>
      <c r="B120" s="111" t="s">
        <v>4</v>
      </c>
      <c r="C120" s="112" t="s">
        <v>284</v>
      </c>
      <c r="D120" s="113">
        <v>2</v>
      </c>
      <c r="E120" s="113">
        <v>1</v>
      </c>
      <c r="F120" s="113"/>
      <c r="G120" s="113"/>
      <c r="H120" s="114"/>
      <c r="I120" s="114"/>
      <c r="J120" s="114"/>
      <c r="K120" s="114"/>
      <c r="L120" s="114"/>
      <c r="M120" s="114"/>
      <c r="N120" s="114"/>
      <c r="O120" s="114"/>
      <c r="P120" s="17">
        <v>3</v>
      </c>
    </row>
    <row r="121" spans="1:16" s="53" customFormat="1" ht="16">
      <c r="A121" s="40">
        <v>134</v>
      </c>
      <c r="B121" s="111" t="s">
        <v>4</v>
      </c>
      <c r="C121" s="112" t="s">
        <v>285</v>
      </c>
      <c r="D121" s="113">
        <v>1</v>
      </c>
      <c r="E121" s="113"/>
      <c r="F121" s="113"/>
      <c r="G121" s="113"/>
      <c r="H121" s="114"/>
      <c r="I121" s="114"/>
      <c r="J121" s="114"/>
      <c r="K121" s="114"/>
      <c r="L121" s="114"/>
      <c r="M121" s="114"/>
      <c r="N121" s="114"/>
      <c r="O121" s="114"/>
      <c r="P121" s="17">
        <v>1</v>
      </c>
    </row>
    <row r="122" spans="1:16" s="53" customFormat="1" ht="16">
      <c r="A122" s="40">
        <v>135</v>
      </c>
      <c r="B122" s="111" t="s">
        <v>4</v>
      </c>
      <c r="C122" s="112" t="s">
        <v>286</v>
      </c>
      <c r="D122" s="113">
        <v>2</v>
      </c>
      <c r="E122" s="113">
        <v>5</v>
      </c>
      <c r="F122" s="113">
        <v>3</v>
      </c>
      <c r="G122" s="113">
        <v>2</v>
      </c>
      <c r="H122" s="114"/>
      <c r="I122" s="114"/>
      <c r="J122" s="114"/>
      <c r="K122" s="114"/>
      <c r="L122" s="114"/>
      <c r="M122" s="114"/>
      <c r="N122" s="114"/>
      <c r="O122" s="114"/>
      <c r="P122" s="17">
        <v>12</v>
      </c>
    </row>
    <row r="123" spans="1:16" s="53" customFormat="1" ht="16">
      <c r="A123" s="40">
        <v>136</v>
      </c>
      <c r="B123" s="111" t="s">
        <v>4</v>
      </c>
      <c r="C123" s="112" t="s">
        <v>287</v>
      </c>
      <c r="D123" s="113">
        <v>1</v>
      </c>
      <c r="E123" s="113"/>
      <c r="F123" s="113"/>
      <c r="G123" s="113"/>
      <c r="H123" s="114"/>
      <c r="I123" s="114"/>
      <c r="J123" s="114"/>
      <c r="K123" s="114"/>
      <c r="L123" s="114"/>
      <c r="M123" s="114"/>
      <c r="N123" s="114"/>
      <c r="O123" s="114"/>
      <c r="P123" s="17">
        <v>1</v>
      </c>
    </row>
    <row r="124" spans="1:16" s="53" customFormat="1" ht="16">
      <c r="A124" s="40">
        <v>137</v>
      </c>
      <c r="B124" s="111" t="s">
        <v>4</v>
      </c>
      <c r="C124" s="112" t="s">
        <v>288</v>
      </c>
      <c r="D124" s="113"/>
      <c r="E124" s="113"/>
      <c r="F124" s="113">
        <v>1</v>
      </c>
      <c r="G124" s="113"/>
      <c r="H124" s="114"/>
      <c r="I124" s="114"/>
      <c r="J124" s="114"/>
      <c r="K124" s="114"/>
      <c r="L124" s="114"/>
      <c r="M124" s="114"/>
      <c r="N124" s="114"/>
      <c r="O124" s="114"/>
      <c r="P124" s="17">
        <v>1</v>
      </c>
    </row>
    <row r="125" spans="1:16" s="53" customFormat="1" ht="16">
      <c r="A125" s="40">
        <v>138</v>
      </c>
      <c r="B125" s="111" t="s">
        <v>4</v>
      </c>
      <c r="C125" s="112" t="s">
        <v>289</v>
      </c>
      <c r="D125" s="113">
        <v>1</v>
      </c>
      <c r="E125" s="113">
        <v>1</v>
      </c>
      <c r="F125" s="113"/>
      <c r="G125" s="113"/>
      <c r="H125" s="114"/>
      <c r="I125" s="114"/>
      <c r="J125" s="114"/>
      <c r="K125" s="114"/>
      <c r="L125" s="114"/>
      <c r="M125" s="114"/>
      <c r="N125" s="114"/>
      <c r="O125" s="114"/>
      <c r="P125" s="17">
        <v>2</v>
      </c>
    </row>
    <row r="126" spans="1:16" s="53" customFormat="1" ht="16">
      <c r="A126" s="40">
        <v>139</v>
      </c>
      <c r="B126" s="111" t="s">
        <v>4</v>
      </c>
      <c r="C126" s="112" t="s">
        <v>290</v>
      </c>
      <c r="D126" s="113">
        <v>1</v>
      </c>
      <c r="E126" s="113"/>
      <c r="F126" s="113">
        <v>1</v>
      </c>
      <c r="G126" s="113">
        <v>3</v>
      </c>
      <c r="H126" s="114"/>
      <c r="I126" s="114"/>
      <c r="J126" s="114"/>
      <c r="K126" s="114"/>
      <c r="L126" s="114"/>
      <c r="M126" s="114"/>
      <c r="N126" s="114"/>
      <c r="O126" s="114"/>
      <c r="P126" s="17">
        <v>5</v>
      </c>
    </row>
    <row r="127" spans="1:16" s="53" customFormat="1" ht="16">
      <c r="A127" s="40">
        <v>140</v>
      </c>
      <c r="B127" s="111" t="s">
        <v>4</v>
      </c>
      <c r="C127" s="112" t="s">
        <v>291</v>
      </c>
      <c r="D127" s="113">
        <v>1</v>
      </c>
      <c r="E127" s="113">
        <v>1</v>
      </c>
      <c r="F127" s="113">
        <v>3</v>
      </c>
      <c r="G127" s="113">
        <v>2</v>
      </c>
      <c r="H127" s="114"/>
      <c r="I127" s="114"/>
      <c r="J127" s="114"/>
      <c r="K127" s="114"/>
      <c r="L127" s="114"/>
      <c r="M127" s="114"/>
      <c r="N127" s="114"/>
      <c r="O127" s="114"/>
      <c r="P127" s="17">
        <v>7</v>
      </c>
    </row>
    <row r="128" spans="1:16" s="53" customFormat="1" ht="16">
      <c r="A128" s="40">
        <v>141</v>
      </c>
      <c r="B128" s="111" t="s">
        <v>4</v>
      </c>
      <c r="C128" s="112" t="s">
        <v>292</v>
      </c>
      <c r="D128" s="113">
        <v>1</v>
      </c>
      <c r="E128" s="113">
        <v>1</v>
      </c>
      <c r="F128" s="113"/>
      <c r="G128" s="113"/>
      <c r="H128" s="114"/>
      <c r="I128" s="114"/>
      <c r="J128" s="114"/>
      <c r="K128" s="114"/>
      <c r="L128" s="114"/>
      <c r="M128" s="114"/>
      <c r="N128" s="114"/>
      <c r="O128" s="114"/>
      <c r="P128" s="17">
        <v>2</v>
      </c>
    </row>
    <row r="129" spans="1:16" s="53" customFormat="1" ht="16">
      <c r="A129" s="40">
        <v>142</v>
      </c>
      <c r="B129" s="111" t="s">
        <v>4</v>
      </c>
      <c r="C129" s="112" t="s">
        <v>293</v>
      </c>
      <c r="D129" s="113">
        <v>2</v>
      </c>
      <c r="E129" s="113">
        <v>1</v>
      </c>
      <c r="F129" s="113">
        <v>4</v>
      </c>
      <c r="G129" s="113">
        <v>4</v>
      </c>
      <c r="H129" s="114"/>
      <c r="I129" s="114"/>
      <c r="J129" s="114"/>
      <c r="K129" s="114"/>
      <c r="L129" s="114"/>
      <c r="M129" s="114"/>
      <c r="N129" s="114"/>
      <c r="O129" s="114"/>
      <c r="P129" s="17">
        <v>11</v>
      </c>
    </row>
    <row r="130" spans="1:16" s="53" customFormat="1" ht="16">
      <c r="A130" s="40">
        <v>143</v>
      </c>
      <c r="B130" s="111" t="s">
        <v>4</v>
      </c>
      <c r="C130" s="112" t="s">
        <v>294</v>
      </c>
      <c r="D130" s="113"/>
      <c r="E130" s="113"/>
      <c r="F130" s="113">
        <v>1</v>
      </c>
      <c r="G130" s="113"/>
      <c r="H130" s="114"/>
      <c r="I130" s="114"/>
      <c r="J130" s="114"/>
      <c r="K130" s="114"/>
      <c r="L130" s="114"/>
      <c r="M130" s="114"/>
      <c r="N130" s="114"/>
      <c r="O130" s="114"/>
      <c r="P130" s="17">
        <v>1</v>
      </c>
    </row>
    <row r="131" spans="1:16" s="53" customFormat="1" ht="16">
      <c r="A131" s="40">
        <v>144</v>
      </c>
      <c r="B131" s="111" t="s">
        <v>4</v>
      </c>
      <c r="C131" s="112" t="s">
        <v>295</v>
      </c>
      <c r="D131" s="113"/>
      <c r="E131" s="113"/>
      <c r="F131" s="113"/>
      <c r="G131" s="113">
        <v>2</v>
      </c>
      <c r="H131" s="114"/>
      <c r="I131" s="114"/>
      <c r="J131" s="114"/>
      <c r="K131" s="114"/>
      <c r="L131" s="114"/>
      <c r="M131" s="114"/>
      <c r="N131" s="114"/>
      <c r="O131" s="114"/>
      <c r="P131" s="17">
        <v>2</v>
      </c>
    </row>
    <row r="132" spans="1:16" s="53" customFormat="1" ht="16">
      <c r="A132" s="40">
        <v>145</v>
      </c>
      <c r="B132" s="111" t="s">
        <v>4</v>
      </c>
      <c r="C132" s="112" t="s">
        <v>296</v>
      </c>
      <c r="D132" s="113"/>
      <c r="E132" s="113">
        <v>1</v>
      </c>
      <c r="F132" s="113">
        <v>1</v>
      </c>
      <c r="G132" s="113">
        <v>1</v>
      </c>
      <c r="H132" s="114"/>
      <c r="I132" s="114"/>
      <c r="J132" s="114"/>
      <c r="K132" s="114"/>
      <c r="L132" s="114"/>
      <c r="M132" s="114"/>
      <c r="N132" s="114"/>
      <c r="O132" s="114"/>
      <c r="P132" s="17">
        <v>3</v>
      </c>
    </row>
    <row r="133" spans="1:16" s="53" customFormat="1" ht="16">
      <c r="A133" s="40">
        <v>114</v>
      </c>
      <c r="B133" s="4" t="s">
        <v>3</v>
      </c>
      <c r="C133" s="14" t="s">
        <v>121</v>
      </c>
      <c r="D133" s="13">
        <v>1</v>
      </c>
      <c r="E133" s="13">
        <v>1</v>
      </c>
      <c r="F133" s="13"/>
      <c r="G133" s="13"/>
      <c r="H133" s="15"/>
      <c r="I133" s="15"/>
      <c r="J133" s="15"/>
      <c r="K133" s="15"/>
      <c r="L133" s="15"/>
      <c r="M133" s="15"/>
      <c r="N133" s="15"/>
      <c r="O133" s="15"/>
      <c r="P133" s="17">
        <v>2</v>
      </c>
    </row>
    <row r="134" spans="1:16" s="53" customFormat="1" ht="16">
      <c r="A134" s="40">
        <v>115</v>
      </c>
      <c r="B134" s="4" t="s">
        <v>3</v>
      </c>
      <c r="C134" s="14" t="s">
        <v>122</v>
      </c>
      <c r="D134" s="13">
        <v>14</v>
      </c>
      <c r="E134" s="13">
        <v>4</v>
      </c>
      <c r="F134" s="13">
        <v>20</v>
      </c>
      <c r="G134" s="13">
        <v>10</v>
      </c>
      <c r="H134" s="15"/>
      <c r="I134" s="15"/>
      <c r="J134" s="15"/>
      <c r="K134" s="15"/>
      <c r="L134" s="15"/>
      <c r="M134" s="15"/>
      <c r="N134" s="15"/>
      <c r="O134" s="15"/>
      <c r="P134" s="17">
        <v>48</v>
      </c>
    </row>
    <row r="135" spans="1:16" s="53" customFormat="1" ht="16">
      <c r="A135" s="40">
        <v>116</v>
      </c>
      <c r="B135" s="4" t="s">
        <v>3</v>
      </c>
      <c r="C135" s="14" t="s">
        <v>123</v>
      </c>
      <c r="D135" s="13">
        <v>9</v>
      </c>
      <c r="E135" s="13">
        <v>4</v>
      </c>
      <c r="F135" s="13">
        <v>11</v>
      </c>
      <c r="G135" s="13">
        <v>13</v>
      </c>
      <c r="H135" s="15"/>
      <c r="I135" s="15"/>
      <c r="J135" s="15"/>
      <c r="K135" s="15"/>
      <c r="L135" s="15"/>
      <c r="M135" s="15"/>
      <c r="N135" s="15"/>
      <c r="O135" s="15"/>
      <c r="P135" s="17">
        <v>37</v>
      </c>
    </row>
    <row r="136" spans="1:16" s="53" customFormat="1" ht="16">
      <c r="A136" s="40">
        <v>117</v>
      </c>
      <c r="B136" s="4" t="s">
        <v>3</v>
      </c>
      <c r="C136" s="14" t="s">
        <v>124</v>
      </c>
      <c r="D136" s="13">
        <v>6</v>
      </c>
      <c r="E136" s="13">
        <v>5</v>
      </c>
      <c r="F136" s="13">
        <v>8</v>
      </c>
      <c r="G136" s="13">
        <v>5</v>
      </c>
      <c r="H136" s="15"/>
      <c r="I136" s="15"/>
      <c r="J136" s="15"/>
      <c r="K136" s="15"/>
      <c r="L136" s="15"/>
      <c r="M136" s="15"/>
      <c r="N136" s="15"/>
      <c r="O136" s="15"/>
      <c r="P136" s="17">
        <v>24</v>
      </c>
    </row>
    <row r="137" spans="1:16" s="53" customFormat="1" ht="16">
      <c r="A137" s="40">
        <v>118</v>
      </c>
      <c r="B137" s="4" t="s">
        <v>3</v>
      </c>
      <c r="C137" s="14" t="s">
        <v>125</v>
      </c>
      <c r="D137" s="13">
        <v>12</v>
      </c>
      <c r="E137" s="13">
        <v>10</v>
      </c>
      <c r="F137" s="13">
        <v>12</v>
      </c>
      <c r="G137" s="13">
        <v>7</v>
      </c>
      <c r="H137" s="15"/>
      <c r="I137" s="15"/>
      <c r="J137" s="15"/>
      <c r="K137" s="15"/>
      <c r="L137" s="15"/>
      <c r="M137" s="15"/>
      <c r="N137" s="15"/>
      <c r="O137" s="15"/>
      <c r="P137" s="17">
        <v>41</v>
      </c>
    </row>
    <row r="138" spans="1:16" s="53" customFormat="1" ht="16">
      <c r="A138" s="40">
        <v>119</v>
      </c>
      <c r="B138" s="4" t="s">
        <v>3</v>
      </c>
      <c r="C138" s="14" t="s">
        <v>126</v>
      </c>
      <c r="D138" s="13"/>
      <c r="E138" s="13"/>
      <c r="F138" s="13"/>
      <c r="G138" s="13">
        <v>1</v>
      </c>
      <c r="H138" s="15"/>
      <c r="I138" s="15"/>
      <c r="J138" s="15"/>
      <c r="K138" s="15"/>
      <c r="L138" s="15"/>
      <c r="M138" s="15"/>
      <c r="N138" s="15"/>
      <c r="O138" s="15"/>
      <c r="P138" s="17">
        <v>1</v>
      </c>
    </row>
    <row r="139" spans="1:16" s="53" customFormat="1" ht="16">
      <c r="A139" s="40">
        <v>120</v>
      </c>
      <c r="B139" s="4" t="s">
        <v>3</v>
      </c>
      <c r="C139" s="14" t="s">
        <v>127</v>
      </c>
      <c r="D139" s="13">
        <v>11</v>
      </c>
      <c r="E139" s="13">
        <v>4</v>
      </c>
      <c r="F139" s="13">
        <v>9</v>
      </c>
      <c r="G139" s="13">
        <v>7</v>
      </c>
      <c r="H139" s="15"/>
      <c r="I139" s="15"/>
      <c r="J139" s="15"/>
      <c r="K139" s="15"/>
      <c r="L139" s="15"/>
      <c r="M139" s="15"/>
      <c r="N139" s="15"/>
      <c r="O139" s="15"/>
      <c r="P139" s="17">
        <v>31</v>
      </c>
    </row>
    <row r="140" spans="1:16" s="53" customFormat="1" ht="16">
      <c r="A140" s="40">
        <v>121</v>
      </c>
      <c r="B140" s="4" t="s">
        <v>3</v>
      </c>
      <c r="C140" s="14" t="s">
        <v>128</v>
      </c>
      <c r="D140" s="13">
        <v>1</v>
      </c>
      <c r="E140" s="13">
        <v>1</v>
      </c>
      <c r="F140" s="13">
        <v>1</v>
      </c>
      <c r="G140" s="13">
        <v>1</v>
      </c>
      <c r="H140" s="15"/>
      <c r="I140" s="15"/>
      <c r="J140" s="15"/>
      <c r="K140" s="15"/>
      <c r="L140" s="15"/>
      <c r="M140" s="15"/>
      <c r="N140" s="15"/>
      <c r="O140" s="15"/>
      <c r="P140" s="17">
        <v>4</v>
      </c>
    </row>
    <row r="141" spans="1:16" s="53" customFormat="1" ht="16">
      <c r="A141" s="40">
        <v>122</v>
      </c>
      <c r="B141" s="4" t="s">
        <v>3</v>
      </c>
      <c r="C141" s="14" t="s">
        <v>129</v>
      </c>
      <c r="D141" s="13">
        <v>1</v>
      </c>
      <c r="E141" s="13">
        <v>1</v>
      </c>
      <c r="F141" s="13">
        <v>1</v>
      </c>
      <c r="G141" s="13">
        <v>1</v>
      </c>
      <c r="H141" s="15"/>
      <c r="I141" s="15"/>
      <c r="J141" s="15"/>
      <c r="K141" s="15"/>
      <c r="L141" s="15"/>
      <c r="M141" s="15"/>
      <c r="N141" s="15"/>
      <c r="O141" s="15"/>
      <c r="P141" s="17">
        <v>4</v>
      </c>
    </row>
    <row r="142" spans="1:16" s="53" customFormat="1" ht="16">
      <c r="A142" s="40">
        <v>123</v>
      </c>
      <c r="B142" s="4" t="s">
        <v>3</v>
      </c>
      <c r="C142" s="14" t="s">
        <v>130</v>
      </c>
      <c r="D142" s="13">
        <v>107</v>
      </c>
      <c r="E142" s="13">
        <v>165</v>
      </c>
      <c r="F142" s="13">
        <v>131</v>
      </c>
      <c r="G142" s="13">
        <v>139</v>
      </c>
      <c r="H142" s="15"/>
      <c r="I142" s="15"/>
      <c r="J142" s="15"/>
      <c r="K142" s="15"/>
      <c r="L142" s="15"/>
      <c r="M142" s="15"/>
      <c r="N142" s="15"/>
      <c r="O142" s="15"/>
      <c r="P142" s="17">
        <v>542</v>
      </c>
    </row>
    <row r="143" spans="1:16" s="53" customFormat="1" ht="16">
      <c r="A143" s="40">
        <v>124</v>
      </c>
      <c r="B143" s="4" t="s">
        <v>3</v>
      </c>
      <c r="C143" s="14" t="s">
        <v>131</v>
      </c>
      <c r="D143" s="13">
        <v>39</v>
      </c>
      <c r="E143" s="13">
        <v>64</v>
      </c>
      <c r="F143" s="13">
        <v>48</v>
      </c>
      <c r="G143" s="13">
        <v>51</v>
      </c>
      <c r="H143" s="15"/>
      <c r="I143" s="15"/>
      <c r="J143" s="15"/>
      <c r="K143" s="15"/>
      <c r="L143" s="15"/>
      <c r="M143" s="15"/>
      <c r="N143" s="15"/>
      <c r="O143" s="15"/>
      <c r="P143" s="17">
        <v>202</v>
      </c>
    </row>
    <row r="144" spans="1:16" s="53" customFormat="1" ht="16">
      <c r="A144" s="40">
        <v>125</v>
      </c>
      <c r="B144" s="4" t="s">
        <v>3</v>
      </c>
      <c r="C144" s="14" t="s">
        <v>132</v>
      </c>
      <c r="D144" s="13">
        <v>10</v>
      </c>
      <c r="E144" s="13">
        <v>8</v>
      </c>
      <c r="F144" s="13">
        <v>8</v>
      </c>
      <c r="G144" s="13">
        <v>6</v>
      </c>
      <c r="H144" s="15"/>
      <c r="I144" s="15"/>
      <c r="J144" s="15"/>
      <c r="K144" s="15"/>
      <c r="L144" s="15"/>
      <c r="M144" s="15"/>
      <c r="N144" s="15"/>
      <c r="O144" s="15"/>
      <c r="P144" s="17">
        <v>32</v>
      </c>
    </row>
    <row r="145" spans="1:16" s="53" customFormat="1" ht="16">
      <c r="A145" s="40">
        <v>126</v>
      </c>
      <c r="B145" s="4" t="s">
        <v>3</v>
      </c>
      <c r="C145" s="14" t="s">
        <v>133</v>
      </c>
      <c r="D145" s="13"/>
      <c r="E145" s="13"/>
      <c r="F145" s="13"/>
      <c r="G145" s="13"/>
      <c r="H145" s="15"/>
      <c r="I145" s="15"/>
      <c r="J145" s="15"/>
      <c r="K145" s="15"/>
      <c r="L145" s="15"/>
      <c r="M145" s="15"/>
      <c r="N145" s="15"/>
      <c r="O145" s="15"/>
      <c r="P145" s="17">
        <v>0</v>
      </c>
    </row>
    <row r="146" spans="1:16" s="53" customFormat="1" ht="16">
      <c r="A146" s="40">
        <v>127</v>
      </c>
      <c r="B146" s="4" t="s">
        <v>3</v>
      </c>
      <c r="C146" s="14" t="s">
        <v>134</v>
      </c>
      <c r="D146" s="13">
        <v>15</v>
      </c>
      <c r="E146" s="13">
        <v>12</v>
      </c>
      <c r="F146" s="13">
        <v>13</v>
      </c>
      <c r="G146" s="13">
        <v>8</v>
      </c>
      <c r="H146" s="15"/>
      <c r="I146" s="15"/>
      <c r="J146" s="15"/>
      <c r="K146" s="15"/>
      <c r="L146" s="15"/>
      <c r="M146" s="15"/>
      <c r="N146" s="15"/>
      <c r="O146" s="15"/>
      <c r="P146" s="17">
        <v>48</v>
      </c>
    </row>
    <row r="147" spans="1:16" s="53" customFormat="1" ht="16">
      <c r="A147" s="40">
        <v>128</v>
      </c>
      <c r="B147" s="4" t="s">
        <v>3</v>
      </c>
      <c r="C147" s="14" t="s">
        <v>135</v>
      </c>
      <c r="D147" s="13">
        <v>2</v>
      </c>
      <c r="E147" s="13">
        <v>7</v>
      </c>
      <c r="F147" s="13">
        <v>2</v>
      </c>
      <c r="G147" s="13">
        <v>1</v>
      </c>
      <c r="H147" s="15"/>
      <c r="I147" s="15"/>
      <c r="J147" s="15"/>
      <c r="K147" s="15"/>
      <c r="L147" s="15"/>
      <c r="M147" s="15"/>
      <c r="N147" s="15"/>
      <c r="O147" s="15"/>
      <c r="P147" s="17">
        <v>12</v>
      </c>
    </row>
    <row r="148" spans="1:16" s="53" customFormat="1"/>
    <row r="149" spans="1:16" s="53" customFormat="1"/>
    <row r="150" spans="1:16" s="53" customFormat="1"/>
    <row r="151" spans="1:16" s="53" customFormat="1"/>
    <row r="152" spans="1:16" s="53" customFormat="1"/>
    <row r="153" spans="1:16" s="53" customFormat="1"/>
    <row r="154" spans="1:16" s="53" customFormat="1"/>
    <row r="155" spans="1:16" s="53" customFormat="1"/>
    <row r="156" spans="1:16" s="53" customFormat="1"/>
    <row r="157" spans="1:16" s="53" customFormat="1"/>
    <row r="158" spans="1:16" s="53" customFormat="1"/>
    <row r="159" spans="1:16" s="53" customFormat="1"/>
    <row r="160" spans="1:16" s="53" customFormat="1"/>
    <row r="161" s="53" customFormat="1"/>
    <row r="162" s="53" customFormat="1"/>
    <row r="163" s="53" customFormat="1"/>
    <row r="164" s="53" customFormat="1"/>
    <row r="165" s="53" customFormat="1"/>
    <row r="166" s="53" customFormat="1"/>
    <row r="167" s="53" customFormat="1"/>
    <row r="168" s="53" customFormat="1"/>
    <row r="169" s="53" customFormat="1"/>
    <row r="170" s="53" customFormat="1"/>
    <row r="171" s="53" customFormat="1"/>
    <row r="172" s="53" customFormat="1"/>
    <row r="173" s="53" customFormat="1"/>
    <row r="174" s="53" customFormat="1"/>
    <row r="175" s="53" customFormat="1"/>
    <row r="176" s="53" customFormat="1"/>
    <row r="177" s="53" customFormat="1"/>
    <row r="178" s="53" customFormat="1"/>
    <row r="179" s="53" customFormat="1"/>
    <row r="180" s="53" customFormat="1"/>
    <row r="181" s="53" customFormat="1"/>
    <row r="182" s="53" customFormat="1"/>
    <row r="183" s="53" customFormat="1"/>
    <row r="184" s="53" customFormat="1"/>
    <row r="185" s="53" customFormat="1"/>
    <row r="186" s="53" customFormat="1"/>
    <row r="187" s="53" customFormat="1"/>
    <row r="188" s="53" customFormat="1"/>
    <row r="189" s="53" customFormat="1"/>
    <row r="190" s="53" customFormat="1"/>
    <row r="191" s="53" customFormat="1"/>
    <row r="192" s="53" customFormat="1"/>
    <row r="193" s="53" customFormat="1"/>
    <row r="194" s="53" customFormat="1"/>
    <row r="195" s="53" customFormat="1"/>
    <row r="196" s="53" customFormat="1"/>
    <row r="197" s="53" customFormat="1"/>
    <row r="198" s="53" customFormat="1"/>
    <row r="199" s="53" customFormat="1"/>
    <row r="200" s="53" customFormat="1"/>
    <row r="201" s="53" customFormat="1"/>
    <row r="202" s="53" customFormat="1"/>
    <row r="203" s="53" customFormat="1"/>
    <row r="204" s="53" customFormat="1"/>
    <row r="205" s="53" customFormat="1"/>
    <row r="206" s="53" customFormat="1"/>
    <row r="207" s="53" customFormat="1"/>
    <row r="208" s="53" customFormat="1"/>
    <row r="209" s="53" customFormat="1"/>
    <row r="210" s="53" customFormat="1"/>
    <row r="211" s="53" customFormat="1"/>
    <row r="212" s="53" customFormat="1"/>
    <row r="213" s="53" customFormat="1"/>
    <row r="214" s="53" customFormat="1"/>
    <row r="215" s="53" customFormat="1"/>
    <row r="216" s="53" customFormat="1"/>
    <row r="217" s="53" customFormat="1"/>
    <row r="218" s="53" customFormat="1"/>
    <row r="219" s="53" customFormat="1"/>
    <row r="220" s="53" customFormat="1"/>
    <row r="221" s="53" customFormat="1"/>
    <row r="222" s="53" customFormat="1"/>
    <row r="223" s="53" customFormat="1"/>
    <row r="224" s="53" customFormat="1"/>
    <row r="225" s="53" customFormat="1"/>
    <row r="226" s="53" customFormat="1"/>
    <row r="227" s="53" customFormat="1"/>
    <row r="228" s="53" customFormat="1"/>
    <row r="229" s="53" customFormat="1"/>
    <row r="230" s="53" customFormat="1"/>
    <row r="231" s="53" customFormat="1"/>
    <row r="232" s="53" customFormat="1"/>
    <row r="233" s="53" customFormat="1"/>
    <row r="234" s="53" customFormat="1"/>
    <row r="235" s="53" customFormat="1"/>
    <row r="236" s="53" customFormat="1"/>
    <row r="237" s="53" customFormat="1"/>
    <row r="238" s="53" customFormat="1"/>
    <row r="239" s="53" customFormat="1"/>
    <row r="240" s="53" customFormat="1"/>
    <row r="241" s="53" customFormat="1"/>
    <row r="242" s="53" customFormat="1"/>
    <row r="243" s="53" customFormat="1"/>
    <row r="244" s="53" customFormat="1"/>
    <row r="245" s="53" customFormat="1"/>
    <row r="246" s="53" customFormat="1"/>
    <row r="247" s="53" customFormat="1"/>
    <row r="248" s="53" customFormat="1"/>
    <row r="249" s="53" customFormat="1"/>
    <row r="250" s="53" customFormat="1"/>
    <row r="251" s="53" customFormat="1"/>
    <row r="252" s="53" customFormat="1"/>
    <row r="253" s="53" customFormat="1"/>
    <row r="254" s="53" customFormat="1"/>
    <row r="255" s="53" customFormat="1"/>
    <row r="256" s="53" customFormat="1"/>
    <row r="257" s="53" customFormat="1"/>
    <row r="258" s="53" customFormat="1"/>
    <row r="259" s="53" customFormat="1"/>
    <row r="260" s="53" customFormat="1"/>
    <row r="261" s="53" customFormat="1"/>
    <row r="262" s="53" customFormat="1"/>
    <row r="263" s="53" customFormat="1"/>
    <row r="264" s="53" customFormat="1"/>
    <row r="265" s="53" customFormat="1"/>
    <row r="266" s="53" customFormat="1"/>
    <row r="267" s="53" customFormat="1"/>
    <row r="268" s="53" customFormat="1"/>
    <row r="269" s="53" customFormat="1"/>
    <row r="270" s="53" customFormat="1"/>
    <row r="271" s="53" customFormat="1"/>
    <row r="272" s="53" customFormat="1"/>
    <row r="273" s="53" customFormat="1"/>
    <row r="274" s="53" customFormat="1"/>
    <row r="275" s="53" customFormat="1"/>
    <row r="276" s="53" customFormat="1"/>
    <row r="277" s="53" customFormat="1"/>
    <row r="278" s="53" customFormat="1"/>
    <row r="279" s="53" customFormat="1"/>
    <row r="280" s="53" customFormat="1"/>
    <row r="281" s="53" customFormat="1"/>
    <row r="282" s="53" customFormat="1"/>
    <row r="283" s="53" customFormat="1"/>
    <row r="284" s="53" customFormat="1"/>
    <row r="285" s="53" customFormat="1"/>
    <row r="286" s="53" customFormat="1"/>
    <row r="287" s="53" customFormat="1"/>
    <row r="288" s="53" customFormat="1"/>
    <row r="289" s="53" customFormat="1"/>
    <row r="290" s="53" customFormat="1"/>
    <row r="291" s="53" customFormat="1"/>
    <row r="292" s="53" customFormat="1"/>
    <row r="293" s="53" customFormat="1"/>
    <row r="294" s="53" customFormat="1"/>
    <row r="295" s="53" customFormat="1"/>
    <row r="296" s="53" customFormat="1"/>
    <row r="297" s="53" customFormat="1"/>
    <row r="298" s="53" customFormat="1"/>
    <row r="299" s="53" customFormat="1"/>
    <row r="300" s="53" customFormat="1"/>
    <row r="301" s="53" customFormat="1"/>
    <row r="302" s="53" customFormat="1"/>
    <row r="303" s="53" customFormat="1"/>
    <row r="304" s="53" customFormat="1"/>
    <row r="305" s="53" customFormat="1"/>
    <row r="306" s="53" customFormat="1"/>
    <row r="307" s="53" customFormat="1"/>
    <row r="308" s="53" customFormat="1"/>
    <row r="309" s="53" customFormat="1"/>
    <row r="310" s="53" customFormat="1"/>
    <row r="311" s="53" customFormat="1"/>
    <row r="312" s="53" customFormat="1"/>
    <row r="313" s="53" customFormat="1"/>
    <row r="314" s="53" customFormat="1"/>
    <row r="315" s="53" customFormat="1"/>
    <row r="316" s="53" customFormat="1"/>
    <row r="317" s="53" customFormat="1"/>
    <row r="318" s="53" customFormat="1"/>
    <row r="319" s="53" customFormat="1"/>
    <row r="320" s="53" customFormat="1"/>
    <row r="321" s="53" customFormat="1"/>
    <row r="322" s="53" customFormat="1"/>
    <row r="323" s="53" customFormat="1"/>
    <row r="324" s="53" customFormat="1"/>
    <row r="325" s="53" customFormat="1"/>
    <row r="326" s="53" customFormat="1"/>
    <row r="327" s="53" customFormat="1"/>
    <row r="328" s="53" customFormat="1"/>
    <row r="329" s="53" customFormat="1"/>
    <row r="330" s="53" customFormat="1"/>
    <row r="331" s="53" customFormat="1"/>
    <row r="332" s="53" customFormat="1"/>
    <row r="333" s="53" customFormat="1"/>
    <row r="334" s="53" customFormat="1"/>
    <row r="335" s="53" customFormat="1"/>
    <row r="336" s="53" customFormat="1"/>
    <row r="337" s="53" customFormat="1"/>
    <row r="338" s="53" customFormat="1"/>
    <row r="339" s="53" customFormat="1"/>
    <row r="340" s="53" customFormat="1"/>
    <row r="341" s="53" customFormat="1"/>
    <row r="342" s="53" customFormat="1"/>
    <row r="343" s="53" customFormat="1"/>
    <row r="344" s="53" customFormat="1"/>
    <row r="345" s="53" customFormat="1"/>
    <row r="346" s="53" customFormat="1"/>
    <row r="347" s="53" customFormat="1"/>
    <row r="348" s="53" customFormat="1"/>
    <row r="349" s="53" customFormat="1"/>
    <row r="350" s="53" customFormat="1"/>
    <row r="351" s="53" customFormat="1"/>
    <row r="352" s="53" customFormat="1"/>
    <row r="353" s="53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2026-09-03T14:07:02Z</dcterms:modified>
</cp:coreProperties>
</file>