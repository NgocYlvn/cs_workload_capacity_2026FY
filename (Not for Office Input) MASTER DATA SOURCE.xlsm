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366C8A99-9F64-45B6-A317-226632CEFE2C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7" hidden="1">'7. S Vol.'!$A$2:$Q$45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4" i="5" l="1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M109" i="5" l="1"/>
  <c r="N109" i="5" s="1"/>
  <c r="M90" i="5"/>
  <c r="N90" i="5" s="1"/>
  <c r="M91" i="5"/>
  <c r="N91" i="5" s="1"/>
  <c r="M111" i="5"/>
  <c r="N111" i="5" s="1"/>
  <c r="M102" i="5"/>
  <c r="N102" i="5" s="1"/>
  <c r="M110" i="5"/>
  <c r="N110" i="5" s="1"/>
  <c r="M103" i="5"/>
  <c r="N103" i="5" s="1"/>
  <c r="M105" i="5"/>
  <c r="N105" i="5" s="1"/>
  <c r="M104" i="5"/>
  <c r="N104" i="5" s="1"/>
  <c r="M98" i="5"/>
  <c r="N98" i="5" s="1"/>
  <c r="M92" i="5"/>
  <c r="N92" i="5" s="1"/>
  <c r="M112" i="5"/>
  <c r="N112" i="5" s="1"/>
  <c r="M107" i="5"/>
  <c r="N107" i="5" s="1"/>
  <c r="M100" i="5"/>
  <c r="N100" i="5" s="1"/>
  <c r="M114" i="5"/>
  <c r="N114" i="5" s="1"/>
  <c r="M99" i="5"/>
  <c r="N99" i="5" s="1"/>
  <c r="M93" i="5"/>
  <c r="N93" i="5" s="1"/>
  <c r="M89" i="5"/>
  <c r="N89" i="5" s="1"/>
  <c r="M113" i="5"/>
  <c r="N113" i="5" s="1"/>
  <c r="M106" i="5"/>
  <c r="N106" i="5" s="1"/>
  <c r="M97" i="5"/>
  <c r="N97" i="5" s="1"/>
  <c r="M88" i="5"/>
  <c r="N88" i="5" s="1"/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<sst xmlns="http://schemas.openxmlformats.org/spreadsheetml/2006/main" count="6264" uniqueCount="1667">
  <si>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</si>
  <si>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</si>
  <si>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</si>
  <si>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</si>
  <si>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</si>
  <si>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</si>
  <si>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</si>
  <si>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</si>
  <si>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</si>
  <si>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</si>
  <si>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</si>
  <si>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</si>
  <si>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</si>
  <si>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</si>
  <si>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</si>
  <si>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</si>
  <si>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</si>
  <si>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</si>
  <si>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</si>
  <si>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</si>
  <si>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</si>
  <si>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</si>
  <si>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</si>
  <si>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</si>
  <si>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</si>
  <si>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</si>
  <si>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</si>
  <si>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</si>
  <si>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</si>
  <si>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</si>
  <si>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</si>
  <si>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</si>
  <si>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</si>
  <si>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</si>
  <si>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</si>
  <si>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</si>
  <si>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</si>
  <si>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</si>
  <si>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</si>
  <si>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</si>
  <si>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</si>
  <si>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</si>
  <si>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</si>
  <si>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</si>
  <si>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</si>
  <si>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</si>
  <si>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</si>
  <si>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</si>
  <si>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</si>
  <si>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</si>
  <si>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</si>
  <si>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</si>
  <si>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</si>
  <si>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</si>
  <si>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</si>
  <si>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</si>
  <si>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</si>
  <si>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</si>
  <si>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</si>
  <si>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</si>
  <si>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</si>
  <si>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</si>
  <si>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</si>
  <si>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</si>
  <si>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</si>
  <si>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</si>
  <si>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</si>
  <si>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</si>
  <si>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</si>
  <si>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</si>
  <si>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</si>
  <si>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</si>
  <si>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</si>
  <si>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</si>
  <si>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</si>
  <si>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</si>
  <si>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</si>
  <si>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</si>
  <si>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</si>
  <si>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</si>
  <si>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</si>
  <si>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</si>
  <si>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</si>
  <si>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</si>
  <si>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</si>
  <si>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</si>
  <si>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</si>
  <si>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</si>
  <si>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</si>
  <si>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</si>
  <si>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</si>
  <si>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</si>
  <si>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</si>
  <si>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</si>
  <si>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</si>
  <si>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</si>
  <si>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</si>
  <si>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</si>
  <si>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</si>
  <si>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</si>
  <si>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</si>
  <si>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</si>
  <si>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</si>
  <si>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</si>
  <si>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</si>
  <si>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</si>
  <si>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</si>
  <si>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</si>
  <si>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</si>
  <si>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</si>
  <si>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</si>
  <si>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</si>
  <si>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</si>
  <si>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</si>
  <si>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</si>
  <si>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</si>
  <si>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</si>
  <si>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</si>
  <si>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</si>
  <si>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</si>
  <si>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</si>
  <si>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</si>
  <si>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</si>
  <si>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</si>
  <si>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</si>
  <si>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</si>
  <si>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</si>
  <si>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</si>
  <si>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</si>
  <si>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</si>
  <si>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</si>
  <si>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</si>
  <si>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</si>
  <si>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</si>
  <si>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</si>
  <si>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</si>
  <si>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</si>
  <si>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</si>
  <si>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</si>
  <si>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</si>
  <si>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</si>
  <si>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</si>
  <si>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</si>
  <si>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</si>
  <si>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</si>
  <si>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</si>
  <si>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</si>
  <si>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</si>
  <si>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</si>
  <si>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</si>
  <si>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</si>
  <si>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</si>
  <si>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</si>
  <si>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</si>
  <si>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</si>
  <si>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</si>
  <si>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</si>
  <si>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</si>
  <si>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</si>
  <si>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</si>
  <si>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</si>
  <si>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</si>
  <si>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</si>
  <si>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</si>
  <si>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</si>
  <si>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</si>
  <si>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</si>
  <si>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</si>
  <si>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</si>
  <si>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</si>
  <si>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</si>
  <si>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</si>
  <si>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</si>
  <si>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</si>
  <si>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</si>
  <si>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</si>
  <si>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</si>
  <si>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</si>
  <si>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</si>
  <si>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</si>
  <si>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</si>
  <si>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</si>
  <si>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</si>
  <si>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</si>
  <si>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</si>
  <si>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</si>
  <si>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</si>
  <si>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</si>
  <si>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</si>
  <si>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</si>
  <si>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</si>
  <si>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</si>
  <si>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</si>
  <si>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</si>
  <si>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</si>
  <si>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</si>
  <si>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</si>
  <si>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</si>
  <si>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</si>
  <si>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</si>
  <si>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</si>
  <si>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</si>
  <si>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</si>
  <si>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</si>
  <si>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</si>
  <si>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</si>
  <si>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</si>
  <si>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</si>
  <si>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</si>
  <si>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</si>
  <si>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</si>
  <si>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</si>
  <si>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</si>
  <si>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</si>
  <si>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</si>
  <si>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</si>
  <si>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</si>
  <si>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</si>
  <si>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</si>
  <si>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</si>
  <si>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</si>
  <si>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</si>
  <si>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</si>
  <si>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</si>
  <si>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</si>
  <si>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</si>
  <si>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</si>
  <si>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</si>
  <si>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</si>
  <si>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</si>
  <si>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</si>
  <si>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</si>
  <si>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</si>
  <si>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</si>
  <si>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</si>
  <si>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</si>
  <si>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</si>
  <si>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</si>
  <si>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</si>
  <si>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</si>
  <si>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</si>
  <si>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</si>
  <si>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</si>
  <si>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</si>
  <si>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</si>
  <si>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</si>
  <si>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</si>
  <si>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</si>
  <si>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</si>
  <si>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</si>
  <si>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</si>
  <si>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</si>
  <si>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</si>
  <si>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</si>
  <si>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</si>
  <si>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</si>
  <si>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</si>
  <si>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</si>
  <si>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</si>
  <si>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</si>
  <si>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</si>
  <si>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</si>
  <si>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</si>
  <si>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</si>
  <si>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</si>
  <si>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</si>
  <si>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</si>
  <si>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</si>
  <si>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</si>
  <si>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</si>
  <si>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</si>
  <si>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</si>
  <si>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</si>
  <si>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</si>
  <si>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</si>
  <si>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</si>
  <si>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</si>
  <si>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</si>
  <si>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</si>
  <si>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</si>
  <si>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</si>
  <si>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</si>
  <si>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</si>
  <si>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</si>
  <si>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</si>
  <si>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</si>
  <si>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</si>
  <si>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</si>
  <si>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</si>
  <si>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</si>
  <si>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</si>
  <si>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</si>
  <si>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</si>
  <si>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</si>
  <si>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</si>
  <si>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</si>
  <si>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</si>
  <si>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</si>
  <si>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</si>
  <si>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</si>
  <si>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</si>
  <si>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</si>
  <si>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</si>
  <si>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</si>
  <si>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</si>
  <si>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</si>
  <si>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</si>
  <si>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</si>
  <si>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</si>
  <si>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</si>
  <si>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</si>
  <si>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</si>
  <si>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</si>
  <si>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</si>
  <si>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</si>
  <si>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</si>
  <si>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</si>
  <si>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</si>
  <si>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</si>
  <si>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</si>
  <si>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</si>
  <si>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</si>
  <si>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</si>
  <si>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</si>
  <si>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</si>
  <si>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</si>
  <si>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</si>
  <si>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</si>
  <si>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</si>
  <si>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</si>
  <si>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</si>
  <si>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</si>
  <si>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</si>
  <si>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</si>
  <si>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</si>
  <si>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</si>
  <si>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</si>
  <si>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</si>
  <si>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</si>
  <si>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</si>
  <si>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</si>
  <si>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</si>
  <si>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</si>
  <si>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</si>
  <si>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</si>
  <si>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</si>
  <si>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</si>
  <si>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</si>
  <si>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</si>
  <si>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</si>
  <si>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</si>
  <si>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</si>
  <si>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</si>
  <si>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</si>
  <si>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</si>
  <si>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</si>
  <si>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</si>
  <si>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</si>
  <si>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</si>
  <si>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</si>
  <si>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</si>
  <si>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</si>
  <si>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</si>
  <si>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</si>
  <si>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</si>
  <si>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</si>
  <si>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</si>
  <si>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</si>
  <si>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</si>
  <si>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</si>
  <si>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</si>
  <si>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</si>
  <si>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</si>
  <si>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</si>
  <si>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</si>
  <si>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</si>
  <si>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</si>
  <si>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</si>
  <si>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</si>
  <si>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</si>
  <si>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</si>
  <si>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</si>
  <si>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</si>
  <si>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</si>
  <si>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</si>
  <si>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</si>
  <si>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</si>
  <si>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</si>
  <si>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</si>
  <si>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</si>
  <si>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</si>
  <si>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</si>
  <si>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</si>
  <si>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</si>
  <si>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</si>
  <si>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</si>
  <si>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</si>
  <si>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</si>
  <si>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</si>
  <si>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</si>
  <si>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</si>
  <si>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</si>
  <si>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</si>
  <si>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</si>
  <si>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</si>
  <si>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</si>
  <si>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</si>
  <si>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</si>
  <si>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</si>
  <si>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</si>
  <si>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</si>
  <si>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</si>
  <si>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</si>
  <si>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</si>
  <si>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</si>
  <si>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</si>
  <si>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</si>
  <si>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</si>
  <si>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</si>
  <si>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</si>
  <si>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</si>
  <si>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</si>
  <si>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</si>
  <si>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</si>
  <si>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</si>
  <si>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</si>
  <si>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</si>
  <si>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</si>
  <si>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</si>
  <si>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</si>
  <si>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</si>
  <si>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</si>
  <si>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</si>
  <si>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</si>
  <si>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</si>
  <si>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</si>
  <si>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</si>
  <si>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</si>
  <si>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</si>
  <si>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</si>
  <si>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</si>
  <si>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</si>
  <si>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</si>
  <si>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</si>
  <si>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</si>
  <si>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</si>
  <si>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</si>
  <si>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</si>
  <si>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</si>
  <si>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</si>
  <si>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</si>
  <si>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</si>
  <si>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</si>
  <si>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</si>
  <si>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</si>
  <si>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</si>
  <si>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</si>
  <si>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</si>
  <si>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</si>
  <si>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</si>
  <si>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</si>
  <si>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</si>
  <si>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</si>
  <si>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</si>
  <si>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</si>
  <si>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</si>
  <si>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</si>
  <si>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</si>
  <si>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</si>
  <si>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</si>
  <si>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</si>
  <si>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</si>
  <si>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</si>
  <si>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</si>
  <si>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</si>
  <si>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</si>
  <si>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</si>
  <si>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</si>
  <si>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</si>
  <si>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</si>
  <si>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</si>
  <si>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</si>
  <si>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</si>
  <si>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</si>
  <si>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</si>
  <si>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</si>
  <si>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</si>
  <si>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</si>
  <si>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</si>
  <si>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</si>
  <si>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</si>
  <si>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</si>
  <si>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</si>
  <si>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</si>
  <si>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</si>
  <si>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</si>
  <si>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</si>
  <si>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</si>
  <si>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</si>
  <si>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</si>
  <si>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</si>
  <si>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</si>
  <si>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</si>
  <si>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</si>
  <si>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</si>
  <si>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</si>
  <si>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</si>
  <si>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</si>
  <si>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</si>
  <si>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</si>
  <si>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</si>
  <si>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</si>
  <si>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</si>
  <si>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</si>
  <si>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</si>
  <si>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</si>
  <si>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</si>
  <si>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</si>
  <si>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</si>
  <si>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</si>
  <si>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</si>
  <si>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</si>
  <si>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</si>
  <si>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</si>
  <si>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</si>
  <si>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</si>
  <si>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</si>
  <si>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</si>
  <si>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</si>
  <si>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</si>
  <si>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</si>
  <si>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</si>
  <si>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</si>
  <si>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</si>
  <si>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</si>
  <si>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</si>
  <si>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</si>
  <si>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</si>
  <si>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</si>
  <si>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</si>
  <si>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</si>
  <si>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</si>
  <si>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</si>
  <si>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</si>
  <si>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</si>
  <si>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</si>
  <si>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</si>
  <si>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</si>
  <si>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</si>
  <si>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</si>
  <si>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</si>
  <si>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</si>
  <si>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</si>
  <si>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</si>
  <si>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</si>
  <si>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</si>
  <si>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</si>
  <si>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</si>
  <si>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</si>
  <si>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</si>
  <si>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</si>
  <si>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</si>
  <si>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</si>
  <si>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</si>
  <si>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</si>
  <si>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</si>
  <si>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</si>
  <si>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</si>
  <si>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</si>
  <si>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</si>
  <si>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</si>
  <si>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</si>
  <si>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</si>
  <si>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</si>
  <si>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</si>
  <si>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</si>
  <si>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</si>
  <si>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</si>
  <si>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</si>
  <si>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</si>
  <si>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</si>
  <si>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</si>
  <si>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</si>
  <si>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</si>
  <si>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</si>
  <si>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</si>
  <si>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</si>
  <si>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</si>
  <si>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</si>
  <si>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</si>
  <si>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</si>
  <si>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</si>
  <si>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</si>
  <si>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</si>
  <si>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</si>
  <si>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</si>
  <si>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</si>
  <si>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</si>
  <si>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</si>
  <si>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</si>
  <si>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</si>
  <si>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</si>
  <si>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</si>
  <si>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</si>
  <si>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</si>
  <si>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</si>
  <si>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</si>
  <si>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</si>
  <si>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</si>
  <si>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</si>
  <si>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</si>
  <si>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</si>
  <si>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</si>
  <si>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</si>
  <si>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</si>
  <si>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</si>
  <si>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</si>
  <si>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</si>
  <si>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</si>
  <si>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</si>
  <si>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</si>
  <si>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</si>
  <si>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</si>
  <si>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</si>
  <si>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</si>
  <si>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</si>
  <si>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</si>
  <si>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</si>
  <si>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</si>
  <si>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</si>
  <si>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</si>
  <si>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</si>
  <si>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</si>
  <si>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</si>
  <si>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</si>
  <si>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</si>
  <si>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</si>
  <si>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</si>
  <si>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</si>
  <si>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</si>
  <si>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</si>
  <si>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</si>
  <si>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</si>
  <si>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</si>
  <si>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</si>
  <si>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</si>
  <si>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</si>
  <si>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</si>
  <si>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</si>
  <si>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</si>
  <si>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</si>
  <si>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</si>
  <si>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</si>
  <si>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</si>
  <si>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</si>
  <si>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</si>
  <si>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</si>
  <si>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</si>
  <si>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</si>
  <si>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</si>
  <si>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</si>
  <si>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</si>
  <si>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</si>
  <si>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</si>
  <si>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</si>
  <si>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</si>
  <si>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</si>
  <si>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</si>
  <si>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</si>
  <si>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</si>
  <si>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</si>
  <si>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</si>
  <si>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</si>
  <si>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</si>
  <si>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</si>
  <si>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</si>
  <si>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</si>
  <si>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</si>
  <si>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</si>
  <si>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</si>
  <si>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</si>
  <si>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</si>
  <si>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</si>
  <si>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</si>
  <si>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</si>
  <si>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</si>
  <si>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</si>
  <si>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</si>
  <si>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</si>
  <si>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</si>
  <si>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</si>
  <si>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</si>
  <si>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</si>
  <si>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</si>
  <si>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</si>
  <si>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</si>
  <si>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</si>
  <si>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</si>
  <si>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</si>
  <si>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</si>
  <si>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</si>
  <si>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</si>
  <si>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</si>
  <si>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</si>
  <si>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</si>
  <si>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</si>
  <si>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</si>
  <si>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</si>
  <si>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</si>
  <si>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</si>
  <si>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</si>
  <si>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</si>
  <si>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</si>
  <si>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</si>
  <si>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</si>
  <si>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</si>
  <si>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</si>
  <si>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</si>
  <si>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</si>
  <si>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</si>
  <si>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</si>
  <si>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</si>
  <si>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</si>
  <si>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</si>
  <si>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</si>
  <si>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</si>
  <si>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</si>
  <si>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</si>
  <si>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</si>
  <si>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</si>
  <si>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</si>
  <si>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</si>
  <si>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</si>
  <si>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</si>
  <si>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</si>
  <si>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</si>
  <si>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</si>
  <si>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</si>
  <si>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</si>
  <si>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</si>
  <si>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</si>
  <si>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</si>
  <si>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</si>
  <si>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</si>
  <si>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</si>
  <si>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</si>
  <si>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</si>
  <si>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</si>
  <si>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</si>
  <si>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</si>
  <si>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</si>
  <si>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</si>
  <si>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</si>
  <si>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</si>
  <si>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</si>
  <si>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</si>
  <si>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</si>
  <si>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</si>
  <si>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</si>
  <si>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</si>
  <si>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</si>
  <si>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</si>
  <si>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</si>
  <si>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</si>
  <si>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</si>
  <si>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</si>
  <si>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</si>
  <si>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</si>
  <si>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</si>
  <si>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</si>
  <si>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</si>
  <si>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</si>
  <si>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</si>
  <si>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</si>
  <si>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</si>
  <si>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</si>
  <si>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</si>
  <si>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</si>
  <si>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</si>
  <si>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</si>
  <si>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</si>
  <si>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</si>
  <si>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</si>
  <si>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</si>
  <si>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</si>
  <si>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</si>
  <si>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</si>
  <si>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</si>
  <si>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</si>
  <si>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</si>
  <si>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</si>
  <si>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</si>
  <si>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</si>
  <si>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</si>
  <si>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</si>
  <si>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</si>
  <si>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</si>
  <si>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</si>
  <si>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</si>
  <si>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</si>
  <si>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</si>
  <si>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</si>
  <si>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</si>
  <si>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</si>
  <si>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</si>
  <si>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</si>
  <si>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</si>
  <si>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</si>
  <si>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</si>
  <si>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</si>
  <si>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</si>
  <si>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</si>
  <si>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</si>
  <si>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</si>
  <si>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</si>
  <si>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</si>
  <si>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</si>
  <si>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</si>
  <si>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</si>
  <si>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</si>
  <si>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</si>
  <si>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</si>
  <si>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</si>
  <si>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</si>
  <si>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</si>
  <si>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</si>
  <si>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</si>
  <si>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</si>
  <si>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</si>
  <si>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</si>
  <si>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</si>
  <si>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</si>
  <si>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</si>
  <si>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</si>
  <si>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</si>
  <si>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</si>
  <si>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</si>
  <si>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</si>
  <si>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</si>
  <si>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</si>
  <si>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</si>
  <si>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</si>
  <si>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</si>
  <si>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</si>
  <si>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</si>
  <si>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</si>
  <si>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</si>
  <si>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</si>
  <si>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</si>
  <si>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</si>
  <si>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</si>
  <si>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</si>
  <si>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</si>
  <si>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</si>
  <si>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</si>
  <si>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</si>
  <si>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</si>
  <si>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</si>
  <si>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</si>
  <si>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</si>
  <si>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</si>
  <si>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</si>
  <si>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</si>
  <si>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</si>
  <si>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</si>
  <si>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</si>
  <si>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</si>
  <si>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</si>
  <si>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</si>
  <si>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</si>
  <si>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</si>
  <si>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</si>
  <si>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</si>
  <si>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</si>
  <si>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</si>
  <si>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</si>
  <si>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</si>
  <si>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</si>
  <si>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</si>
  <si>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</si>
  <si>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</si>
  <si>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</si>
  <si>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</si>
  <si>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</si>
  <si>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</si>
  <si>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</si>
  <si>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</si>
  <si>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</si>
  <si>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</si>
  <si>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</si>
  <si>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</si>
  <si>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</si>
  <si>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</si>
  <si>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</si>
  <si>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</si>
  <si>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</si>
  <si>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</si>
  <si>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</si>
  <si>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</si>
  <si>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</si>
  <si>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</si>
  <si>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</si>
  <si>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</si>
  <si>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</si>
  <si>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</si>
  <si>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</si>
  <si>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</si>
  <si>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</si>
  <si>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</si>
  <si>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</si>
  <si>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</si>
  <si>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</si>
  <si>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</si>
  <si>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</si>
  <si>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</si>
  <si>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</si>
  <si>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</si>
  <si>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</si>
  <si>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</si>
  <si>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</si>
  <si>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</si>
  <si>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</si>
  <si>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</si>
  <si>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</si>
  <si>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</si>
  <si>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</si>
  <si>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</si>
  <si>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</si>
  <si>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</si>
  <si>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</si>
  <si>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</si>
  <si>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</si>
  <si>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</si>
  <si>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</si>
  <si>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</si>
  <si>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</si>
  <si>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</si>
  <si>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</si>
  <si>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</si>
  <si>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</si>
  <si>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</si>
  <si>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</si>
  <si>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</si>
  <si>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</si>
  <si>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</si>
  <si>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</si>
  <si>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</si>
  <si>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</si>
  <si>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</si>
  <si>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</si>
  <si>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</si>
  <si>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</si>
  <si>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</si>
  <si>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</si>
  <si>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</si>
  <si>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</si>
  <si>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</si>
  <si>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</si>
  <si>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</si>
  <si>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</si>
  <si>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</si>
  <si>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</si>
  <si>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</si>
  <si>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</si>
  <si>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</si>
  <si>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</si>
  <si>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</si>
  <si>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</si>
  <si>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</si>
  <si>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</si>
  <si>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</si>
  <si>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</si>
  <si>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</si>
  <si>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</si>
  <si>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</si>
  <si>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</si>
  <si>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</si>
  <si>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</si>
  <si>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</si>
  <si>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</si>
  <si>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</si>
  <si>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</si>
  <si>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</si>
  <si>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</si>
  <si>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</si>
  <si>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</si>
  <si>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</si>
  <si>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</si>
  <si>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</si>
  <si>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</si>
  <si>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</si>
  <si>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</si>
  <si>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</si>
  <si>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</si>
  <si>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</si>
  <si>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</si>
  <si>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</si>
  <si>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</si>
  <si>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</si>
  <si>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</si>
  <si>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</si>
  <si>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</si>
  <si>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</si>
  <si>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</si>
  <si>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</si>
  <si>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</si>
  <si>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</si>
  <si>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</si>
  <si>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</si>
  <si>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</si>
  <si>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</si>
  <si>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</si>
  <si>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</si>
  <si>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</si>
  <si>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</si>
  <si>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</si>
  <si>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</si>
  <si>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</si>
  <si>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</si>
  <si>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</si>
  <si>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</si>
  <si>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</si>
  <si>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</si>
  <si>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</si>
  <si>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</si>
  <si>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</si>
  <si>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</si>
  <si>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</si>
  <si>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</si>
  <si>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</si>
  <si>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</si>
  <si>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</si>
  <si>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</si>
  <si>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</si>
  <si>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</si>
  <si>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</si>
  <si>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</si>
  <si>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</si>
  <si>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</si>
  <si>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</si>
  <si>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</si>
  <si>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</si>
  <si>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</si>
  <si>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</si>
  <si>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</si>
  <si>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</si>
  <si>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</si>
  <si>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</si>
  <si>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</si>
  <si>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</si>
  <si>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</si>
  <si>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</si>
  <si>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</si>
  <si>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</si>
  <si>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</si>
  <si>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</si>
  <si>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</si>
  <si>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</si>
  <si>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</si>
  <si>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</si>
  <si>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</si>
  <si>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</si>
  <si>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</si>
  <si>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</si>
  <si>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</si>
  <si>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</si>
  <si>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</si>
  <si>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</si>
  <si>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</si>
  <si>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</si>
  <si>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</si>
  <si>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</si>
  <si>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</si>
  <si>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</si>
  <si>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</si>
  <si>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</si>
  <si>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</si>
  <si>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</si>
  <si>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</si>
  <si>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</si>
  <si>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</si>
  <si>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</si>
  <si>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</si>
  <si>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</si>
  <si>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</si>
  <si>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</si>
  <si>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</si>
  <si>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</si>
  <si>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</si>
  <si>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</si>
  <si>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</si>
  <si>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</si>
  <si>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</si>
  <si>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</si>
  <si>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</si>
  <si>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</si>
  <si>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</si>
  <si>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</si>
  <si>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</si>
  <si>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</si>
  <si>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</si>
  <si>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</si>
  <si>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</si>
  <si>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</si>
  <si>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</si>
  <si>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</si>
  <si>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</si>
  <si>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</si>
  <si>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</si>
  <si>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</si>
  <si>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</si>
  <si>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</si>
  <si>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</si>
  <si>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</si>
  <si>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</si>
  <si>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</si>
  <si>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</si>
  <si>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</si>
  <si>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</si>
  <si>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</si>
  <si>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</si>
  <si>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</si>
  <si>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</si>
  <si>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</si>
  <si>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</si>
  <si>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</si>
  <si>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</si>
  <si>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</si>
  <si>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</si>
  <si>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</si>
  <si>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</si>
  <si>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</si>
  <si>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</si>
  <si>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</si>
  <si>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</si>
  <si>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</si>
  <si>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</si>
  <si>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</si>
  <si>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</si>
  <si>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</si>
  <si>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</si>
  <si>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</si>
  <si>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</si>
  <si>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</si>
  <si>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</si>
  <si>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</si>
  <si>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</si>
  <si>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</si>
  <si>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</si>
  <si>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</si>
  <si>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</si>
  <si>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</si>
  <si>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</si>
  <si>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</si>
  <si>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</si>
  <si>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</si>
  <si>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</si>
  <si>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</si>
  <si>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</si>
  <si>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</si>
  <si>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</si>
  <si>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</si>
  <si>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</si>
  <si>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</si>
  <si>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</si>
  <si>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</si>
  <si>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</si>
  <si>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</si>
  <si>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</si>
  <si>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</si>
  <si>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</si>
  <si>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</si>
  <si>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</si>
  <si>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</si>
  <si>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</si>
  <si>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</si>
  <si>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</si>
  <si>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</si>
  <si>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</si>
  <si>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</si>
  <si>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</si>
  <si>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</si>
  <si>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</si>
  <si>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</si>
  <si>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</si>
  <si>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</si>
  <si>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</si>
  <si>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</si>
  <si>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</si>
  <si>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</si>
  <si>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</si>
  <si>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</si>
  <si>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</si>
  <si>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</si>
  <si>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</si>
  <si>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</si>
  <si>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</si>
  <si>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</si>
  <si>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</si>
  <si>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</si>
  <si>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</si>
  <si>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</si>
  <si>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</si>
  <si>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</si>
  <si>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</si>
  <si>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</si>
  <si>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</si>
  <si>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</si>
  <si>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</si>
  <si>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</si>
  <si>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</si>
  <si>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</si>
  <si>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</si>
  <si>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</si>
  <si>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</si>
  <si>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</si>
  <si>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</si>
  <si>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</si>
  <si>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</si>
  <si>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</si>
  <si>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</si>
  <si>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</si>
  <si>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</si>
  <si>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</si>
  <si>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</si>
  <si>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</si>
  <si>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</si>
  <si>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</si>
  <si>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</si>
  <si>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</si>
  <si>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</si>
  <si>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</si>
  <si>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</si>
  <si>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</si>
  <si>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</si>
  <si>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</si>
  <si>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</si>
  <si>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</si>
  <si>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</si>
  <si>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</si>
  <si>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</si>
  <si>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</si>
  <si>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</si>
  <si>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</si>
  <si>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</si>
  <si>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</si>
  <si>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</si>
  <si>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</si>
  <si>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</si>
  <si>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</si>
  <si>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</si>
  <si>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</si>
  <si>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</si>
  <si>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</si>
  <si>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</si>
  <si>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</si>
  <si>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</si>
  <si>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</si>
  <si>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</si>
  <si>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</si>
  <si>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</si>
  <si>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</si>
  <si>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</si>
  <si>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</si>
  <si>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</si>
  <si>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</si>
  <si>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</si>
  <si>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</si>
  <si>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</si>
  <si>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</si>
  <si>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</si>
  <si>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</si>
  <si>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</si>
  <si>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</si>
  <si>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</si>
  <si>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</si>
  <si>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</si>
  <si>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</si>
  <si>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CCCCFO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</si>
  <si>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</si>
  <si>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</si>
  <si>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</si>
  <si>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</si>
  <si>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</si>
  <si>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</si>
  <si>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</si>
  <si>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</si>
  <si>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</si>
  <si>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</si>
  <si>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</si>
  <si>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</si>
  <si>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</si>
  <si>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</si>
  <si>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</si>
  <si>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</si>
  <si>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</si>
  <si>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</si>
  <si>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</si>
  <si>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</si>
  <si>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</si>
  <si>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</si>
  <si>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</si>
  <si>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</si>
  <si>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</si>
  <si>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HHH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</si>
  <si>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</si>
  <si>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</si>
  <si>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</si>
  <si>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</si>
  <si>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</si>
  <si>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</si>
  <si>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</si>
  <si>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</si>
  <si>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</si>
  <si>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</si>
  <si>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</si>
  <si>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</si>
  <si>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</si>
  <si>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</si>
  <si>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</si>
  <si>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</si>
  <si>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</si>
  <si>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</si>
  <si>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</si>
  <si>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</si>
  <si>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</si>
  <si>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</si>
  <si>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</si>
  <si>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</si>
  <si>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</si>
  <si>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</si>
  <si>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</si>
  <si>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</si>
  <si>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</si>
  <si>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</si>
  <si>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</si>
  <si>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</si>
  <si>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</si>
  <si>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</si>
  <si>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</si>
  <si>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</si>
  <si>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</si>
  <si>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</si>
  <si>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</si>
  <si>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</si>
  <si>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</si>
  <si>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</si>
  <si>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</si>
  <si>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</si>
  <si>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</si>
  <si>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</si>
  <si>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</si>
  <si>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</si>
  <si>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</si>
  <si>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</si>
  <si>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</si>
  <si>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</si>
  <si>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</si>
  <si>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</si>
  <si>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</si>
  <si>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</si>
  <si>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</si>
  <si>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</si>
  <si>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</si>
  <si>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</si>
  <si>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</si>
  <si>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</si>
  <si>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</si>
  <si>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</si>
  <si>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</si>
  <si>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</si>
  <si>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</si>
  <si>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</si>
  <si>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</si>
  <si>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</si>
  <si>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</si>
  <si>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</si>
  <si>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</si>
  <si>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</si>
  <si>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</si>
  <si>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</si>
  <si>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</si>
  <si>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</si>
  <si>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</si>
  <si>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</si>
  <si>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</si>
  <si>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</si>
  <si>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</si>
  <si>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</si>
  <si>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</si>
  <si>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</si>
  <si>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</si>
  <si>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</si>
  <si>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</si>
  <si>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</si>
  <si>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</si>
  <si>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</si>
  <si>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</si>
  <si>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</si>
  <si>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</si>
  <si>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</si>
  <si>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</si>
  <si>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</si>
  <si>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</si>
  <si>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</si>
  <si>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</si>
  <si>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</si>
  <si>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</si>
  <si>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</si>
  <si>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</si>
  <si>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</si>
  <si>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</si>
  <si>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</si>
  <si>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</si>
  <si>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CHDL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</si>
  <si>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</si>
  <si>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</si>
  <si>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</si>
  <si>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</si>
  <si>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</si>
  <si>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</si>
  <si>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</si>
  <si>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</si>
  <si>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</si>
  <si>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</si>
  <si>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Prepare shipment documents (SI / VGM / CIPL / LOI / POD, Air Cargo Safety Commitment Letter) &gt;&gt; prepare 2nd BC on ward</t>
  </si>
  <si>
    <t>Prepare shipment documents (SI / VGM / CIPL / LOI / POD, Air Cargo Safety Commitment Letter) &gt;&gt; prepare 1st BC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</si>
  <si>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</si>
  <si>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</si>
  <si>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</si>
  <si>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</si>
  <si>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</si>
  <si>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Low Load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</si>
  <si>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</si>
  <si>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</si>
  <si>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</si>
  <si>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</si>
  <si>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</si>
  <si>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</si>
  <si>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</si>
  <si>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</si>
  <si>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</si>
  <si>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</si>
  <si>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</si>
  <si>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</si>
  <si>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</si>
  <si>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</si>
  <si>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</si>
  <si>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</si>
  <si>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Sep</t>
  </si>
  <si>
    <t>THG</t>
  </si>
  <si>
    <t>TTR</t>
  </si>
  <si>
    <t>Oct</t>
  </si>
  <si>
    <t>Nov</t>
  </si>
  <si>
    <t>Dec</t>
  </si>
  <si>
    <t>Jan</t>
  </si>
  <si>
    <t>Feb</t>
  </si>
  <si>
    <t>Mar</t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</si>
  <si>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</si>
  <si>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</si>
  <si>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</si>
  <si>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</si>
  <si>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</si>
  <si>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</si>
  <si>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</si>
  <si>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</si>
  <si>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</si>
  <si>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</si>
  <si>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</si>
  <si>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</si>
  <si>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</si>
  <si>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</si>
  <si>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</si>
  <si>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</si>
  <si>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</si>
  <si>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</si>
  <si>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</si>
  <si>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</si>
  <si>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</si>
  <si>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</si>
  <si>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</si>
  <si>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</si>
  <si>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</si>
  <si>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</si>
  <si>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</si>
  <si>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</si>
  <si>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</si>
  <si>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</si>
  <si>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</si>
  <si>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</si>
  <si>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</si>
  <si>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</si>
  <si>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</si>
  <si>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</si>
  <si>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</si>
  <si>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</si>
  <si>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</si>
  <si>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</si>
  <si>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</si>
  <si>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</si>
  <si>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</si>
  <si>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</si>
  <si>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</si>
  <si>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</si>
  <si>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</si>
  <si>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</si>
  <si>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</si>
  <si>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</si>
  <si>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</si>
  <si>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</si>
  <si>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</si>
  <si>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</si>
  <si>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</si>
  <si>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</si>
  <si>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</si>
  <si>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</si>
  <si>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</si>
  <si>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</si>
  <si>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</si>
  <si>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</si>
  <si>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</si>
  <si>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</si>
  <si>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</si>
  <si>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</si>
  <si>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</si>
  <si>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</si>
  <si>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</si>
  <si>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</si>
  <si>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</si>
  <si>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</si>
  <si>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</si>
  <si>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</si>
  <si>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</si>
  <si>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</si>
  <si>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</si>
  <si>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</si>
  <si>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</si>
  <si>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</si>
  <si>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</si>
  <si>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</si>
  <si>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</si>
  <si>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</si>
  <si>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</si>
  <si>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</si>
  <si>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</si>
  <si>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</si>
  <si>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</si>
  <si>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</si>
  <si>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</si>
  <si>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</si>
  <si>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</si>
  <si>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</si>
  <si>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</si>
  <si>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</si>
  <si>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</si>
  <si>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</si>
  <si>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</si>
  <si>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</si>
  <si>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</si>
  <si>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</si>
  <si>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</si>
  <si>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</si>
  <si>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</si>
  <si>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</si>
  <si>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</si>
  <si>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</si>
  <si>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</si>
  <si>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</si>
  <si>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</si>
  <si>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</si>
  <si>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</si>
  <si>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</si>
  <si>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</si>
  <si>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</si>
  <si>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</si>
  <si>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</si>
  <si>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</si>
  <si>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</si>
  <si>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</si>
  <si>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</si>
  <si>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</si>
  <si>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</si>
  <si>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</si>
  <si>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</si>
  <si>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</si>
  <si>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</si>
  <si>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</si>
  <si>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</si>
  <si>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</si>
  <si>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</si>
  <si>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</si>
  <si>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</si>
  <si>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</si>
  <si>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</si>
  <si>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</si>
  <si>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</si>
  <si>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</si>
  <si>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</si>
  <si>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</si>
  <si>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</si>
  <si>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</si>
  <si>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</si>
  <si>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CCCCLC</t>
  </si>
  <si>
    <t>CCCCMC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</si>
  <si>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</si>
  <si>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</si>
  <si>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</si>
  <si>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</si>
  <si>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</si>
  <si>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</si>
  <si>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</si>
  <si>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</si>
  <si>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</si>
  <si>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</si>
  <si>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</si>
  <si>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</si>
  <si>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</si>
  <si>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</si>
  <si>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</si>
  <si>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</si>
  <si>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</si>
  <si>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</si>
  <si>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</si>
  <si>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</si>
  <si>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</si>
  <si>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</si>
  <si>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</si>
  <si>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</si>
  <si>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</si>
  <si>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</si>
  <si>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</si>
  <si>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</si>
  <si>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</si>
  <si>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</si>
  <si>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</si>
  <si>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</si>
  <si>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</si>
  <si>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</si>
  <si>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</si>
  <si>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WHWHSO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</si>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</sst>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9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15" fillId="8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right"/>
    </xf>
    <xf numFmtId="0" fontId="15" fillId="8" borderId="4" xfId="0" applyFont="1" applyFill="1" applyBorder="1" applyAlignment="1">
      <alignment horizontal="right" vertical="center"/>
    </xf>
    <xf numFmtId="165" fontId="17" fillId="8" borderId="4" xfId="0" applyNumberFormat="1" applyFont="1" applyFill="1" applyBorder="1" applyAlignment="1">
      <alignment horizontal="center" vertical="center"/>
    </xf>
    <xf numFmtId="9" fontId="17" fillId="8" borderId="4" xfId="2" applyFont="1" applyFill="1" applyBorder="1" applyAlignment="1">
      <alignment horizontal="center" vertical="center"/>
    </xf>
    <xf numFmtId="2" fontId="15" fillId="8" borderId="4" xfId="0" applyNumberFormat="1" applyFont="1" applyFill="1" applyBorder="1" applyAlignment="1">
      <alignment horizontal="center" vertical="center"/>
    </xf>
    <xf numFmtId="165" fontId="15" fillId="8" borderId="4" xfId="1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5" fillId="10" borderId="4" xfId="1" applyNumberFormat="1" applyFont="1" applyFill="1" applyBorder="1" applyAlignment="1">
      <alignment horizontal="center" vertical="center"/>
    </xf>
    <xf numFmtId="165" fontId="17" fillId="10" borderId="4" xfId="0" applyNumberFormat="1" applyFont="1" applyFill="1" applyBorder="1" applyAlignment="1">
      <alignment horizontal="center" vertical="center"/>
    </xf>
    <xf numFmtId="9" fontId="17" fillId="10" borderId="4" xfId="2" applyFont="1" applyFill="1" applyBorder="1" applyAlignment="1">
      <alignment horizontal="center" vertical="center"/>
    </xf>
    <xf numFmtId="2" fontId="15" fillId="10" borderId="4" xfId="0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 vertical="center"/>
    </xf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 vertical="center"/>
    </xf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right" vertic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vertical="center"/>
    </xf>
    <xf numFmtId="0" fontId="12" fillId="9" borderId="6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vertical="center"/>
    </xf>
    <xf numFmtId="0" fontId="20" fillId="4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387350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19"/>
  <sheetViews>
    <sheetView zoomScale="85" zoomScaleNormal="85" workbookViewId="0">
      <selection activeCell="A16" sqref="A16:P19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4" width="12.81640625" style="45" bestFit="1" customWidth="1"/>
    <col min="5" max="5" width="14.7265625" style="45" bestFit="1" customWidth="1"/>
    <col min="6" max="7" width="9.453125" style="45" bestFit="1" customWidth="1"/>
    <col min="8" max="8" width="11.453125" style="45" bestFit="1" customWidth="1"/>
    <col min="9" max="10" width="12" style="45" bestFit="1" customWidth="1"/>
    <col min="11" max="11" width="13.81640625" style="45" bestFit="1" customWidth="1"/>
    <col min="12" max="12" width="15" style="45" bestFit="1" customWidth="1"/>
    <col min="13" max="13" width="20.1796875" style="45" customWidth="1"/>
    <col min="14" max="14" width="12.7265625" style="45" customWidth="1"/>
    <col min="15" max="15" width="13.81640625" style="45" customWidth="1"/>
    <col min="16" max="16" width="31.1796875" style="35" customWidth="1"/>
    <col min="17" max="16384" width="8.7265625" style="35"/>
  </cols>
  <sheetData>
    <row r="1" spans="1:16" ht="32.5" customHeight="1">
      <c r="A1" s="32" t="s">
        <v>1196</v>
      </c>
      <c r="B1" s="33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6" s="38" customFormat="1" ht="78" customHeight="1">
      <c r="A2" s="36" t="s">
        <v>5</v>
      </c>
      <c r="B2" s="36" t="s">
        <v>6</v>
      </c>
      <c r="C2" s="37" t="s">
        <v>1189</v>
      </c>
      <c r="D2" s="37" t="s">
        <v>1190</v>
      </c>
      <c r="E2" s="37" t="s">
        <v>1195</v>
      </c>
      <c r="F2" s="37" t="s">
        <v>1187</v>
      </c>
      <c r="G2" s="37" t="s">
        <v>1188</v>
      </c>
      <c r="H2" s="37" t="s">
        <v>1194</v>
      </c>
      <c r="I2" s="37" t="s">
        <v>1191</v>
      </c>
      <c r="J2" s="37" t="s">
        <v>1192</v>
      </c>
      <c r="K2" s="37" t="s">
        <v>1193</v>
      </c>
      <c r="L2" s="37" t="s">
        <v>1234</v>
      </c>
      <c r="M2" s="37" t="s">
        <v>1217</v>
      </c>
      <c r="N2" s="37" t="s">
        <v>1229</v>
      </c>
      <c r="O2" s="37" t="s">
        <v>1230</v>
      </c>
      <c r="P2" s="21" t="s">
        <v>1232</v>
      </c>
    </row>
    <row r="3" spans="1:16" s="38" customFormat="1" ht="20.5" customHeight="1">
      <c r="A3" s="39" t="s">
        <v>2</v>
      </c>
      <c r="B3" s="40" t="s">
        <v>1202</v>
      </c>
      <c r="C3" s="39">
        <v>2</v>
      </c>
      <c r="D3" s="39">
        <v>9</v>
      </c>
      <c r="E3" s="41">
        <v>11</v>
      </c>
      <c r="F3" s="39">
        <v>2</v>
      </c>
      <c r="G3" s="39">
        <v>9</v>
      </c>
      <c r="H3" s="41">
        <v>11</v>
      </c>
      <c r="I3" s="39">
        <v>2</v>
      </c>
      <c r="J3" s="134">
        <v>11.2</v>
      </c>
      <c r="K3" s="42">
        <v>13.2</v>
      </c>
      <c r="L3" s="43">
        <v>1504.8</v>
      </c>
      <c r="M3" s="123">
        <v>1872.9833333333333</v>
      </c>
      <c r="N3" s="44">
        <v>1.2</v>
      </c>
      <c r="O3" s="42" t="s">
        <v>1318</v>
      </c>
    </row>
    <row r="4" spans="1:16" s="38" customFormat="1" ht="20.5" customHeight="1">
      <c r="A4" s="39" t="s">
        <v>2</v>
      </c>
      <c r="B4" s="40" t="s">
        <v>1203</v>
      </c>
      <c r="C4" s="39">
        <v>2</v>
      </c>
      <c r="D4" s="39">
        <v>9</v>
      </c>
      <c r="E4" s="41">
        <v>11</v>
      </c>
      <c r="F4" s="39">
        <v>2</v>
      </c>
      <c r="G4" s="39">
        <v>9</v>
      </c>
      <c r="H4" s="41">
        <v>11</v>
      </c>
      <c r="I4" s="39">
        <v>2</v>
      </c>
      <c r="J4" s="134">
        <v>10.34</v>
      </c>
      <c r="K4" s="42">
        <v>12.34</v>
      </c>
      <c r="L4" s="43">
        <v>1504.8</v>
      </c>
      <c r="M4" s="123">
        <v>1729.3333333333333</v>
      </c>
      <c r="N4" s="44">
        <v>1.1218181818181818</v>
      </c>
      <c r="O4" s="42" t="s">
        <v>1318</v>
      </c>
    </row>
    <row r="5" spans="1:16" s="38" customFormat="1" ht="20.5" customHeight="1">
      <c r="A5" s="39" t="s">
        <v>2</v>
      </c>
      <c r="B5" s="40" t="s">
        <v>1204</v>
      </c>
      <c r="C5" s="39">
        <v>2</v>
      </c>
      <c r="D5" s="39">
        <v>9</v>
      </c>
      <c r="E5" s="41">
        <v>11</v>
      </c>
      <c r="F5" s="39">
        <v>2</v>
      </c>
      <c r="G5" s="39">
        <v>9</v>
      </c>
      <c r="H5" s="41">
        <v>11</v>
      </c>
      <c r="I5" s="39">
        <v>2</v>
      </c>
      <c r="J5" s="134">
        <v>11.61</v>
      </c>
      <c r="K5" s="42">
        <v>13.61</v>
      </c>
      <c r="L5" s="43">
        <v>1504.8</v>
      </c>
      <c r="M5" s="123">
        <v>1938.3666666666666</v>
      </c>
      <c r="N5" s="44">
        <v>1.2372727272727273</v>
      </c>
      <c r="O5" s="42" t="s">
        <v>1318</v>
      </c>
    </row>
    <row r="6" spans="1:16" s="38" customFormat="1" ht="20.5" customHeight="1">
      <c r="A6" s="39" t="s">
        <v>2</v>
      </c>
      <c r="B6" s="40" t="s">
        <v>1205</v>
      </c>
      <c r="C6" s="39">
        <v>2</v>
      </c>
      <c r="D6" s="39">
        <v>9</v>
      </c>
      <c r="E6" s="41">
        <v>11</v>
      </c>
      <c r="F6" s="39">
        <v>2</v>
      </c>
      <c r="G6" s="39">
        <v>9</v>
      </c>
      <c r="H6" s="41">
        <v>11</v>
      </c>
      <c r="I6" s="39">
        <v>2</v>
      </c>
      <c r="J6" s="134">
        <v>11.81</v>
      </c>
      <c r="K6" s="42">
        <v>13.81</v>
      </c>
      <c r="L6" s="43">
        <v>1504.8</v>
      </c>
      <c r="M6" s="123">
        <v>1974.9</v>
      </c>
      <c r="N6" s="44">
        <v>1.2554545454545456</v>
      </c>
      <c r="O6" s="42" t="s">
        <v>1318</v>
      </c>
    </row>
    <row r="7" spans="1:16" s="38" customFormat="1" ht="20.5" customHeight="1">
      <c r="A7" s="40" t="s">
        <v>1</v>
      </c>
      <c r="B7" s="40" t="s">
        <v>1202</v>
      </c>
      <c r="C7" s="40">
        <v>2</v>
      </c>
      <c r="D7" s="40">
        <v>20</v>
      </c>
      <c r="E7" s="42">
        <v>22</v>
      </c>
      <c r="F7" s="40">
        <v>2</v>
      </c>
      <c r="G7" s="40">
        <v>20</v>
      </c>
      <c r="H7" s="41">
        <v>22</v>
      </c>
      <c r="I7" s="40">
        <v>2</v>
      </c>
      <c r="J7" s="42">
        <v>17.5</v>
      </c>
      <c r="K7" s="42">
        <v>19.5</v>
      </c>
      <c r="L7" s="43">
        <v>3344</v>
      </c>
      <c r="M7" s="43">
        <v>3444.32</v>
      </c>
      <c r="N7" s="44">
        <v>0.88636363636363635</v>
      </c>
      <c r="O7" s="42" t="s">
        <v>1330</v>
      </c>
    </row>
    <row r="8" spans="1:16" s="38" customFormat="1" ht="20.5" customHeight="1">
      <c r="A8" s="40" t="s">
        <v>1</v>
      </c>
      <c r="B8" s="40" t="s">
        <v>1203</v>
      </c>
      <c r="C8" s="40">
        <v>2</v>
      </c>
      <c r="D8" s="40">
        <v>20</v>
      </c>
      <c r="E8" s="42">
        <v>22</v>
      </c>
      <c r="F8" s="40">
        <v>2</v>
      </c>
      <c r="G8" s="40">
        <v>20</v>
      </c>
      <c r="H8" s="41">
        <v>22</v>
      </c>
      <c r="I8" s="40">
        <v>2</v>
      </c>
      <c r="J8" s="42">
        <v>17.5</v>
      </c>
      <c r="K8" s="42">
        <v>19.5</v>
      </c>
      <c r="L8" s="43">
        <v>3344</v>
      </c>
      <c r="M8" s="43">
        <v>3444.32</v>
      </c>
      <c r="N8" s="44">
        <v>0.88636363636363635</v>
      </c>
      <c r="O8" s="42" t="s">
        <v>1330</v>
      </c>
    </row>
    <row r="9" spans="1:16" s="38" customFormat="1" ht="20.5" customHeight="1">
      <c r="A9" s="40" t="s">
        <v>1</v>
      </c>
      <c r="B9" s="40" t="s">
        <v>1204</v>
      </c>
      <c r="C9" s="40">
        <v>2</v>
      </c>
      <c r="D9" s="40">
        <v>20</v>
      </c>
      <c r="E9" s="42">
        <v>22</v>
      </c>
      <c r="F9" s="40">
        <v>2</v>
      </c>
      <c r="G9" s="40">
        <v>20</v>
      </c>
      <c r="H9" s="41">
        <v>22</v>
      </c>
      <c r="I9" s="40">
        <v>2</v>
      </c>
      <c r="J9" s="42">
        <v>17.5</v>
      </c>
      <c r="K9" s="42">
        <v>19.5</v>
      </c>
      <c r="L9" s="43">
        <v>3344</v>
      </c>
      <c r="M9" s="43">
        <v>3444.32</v>
      </c>
      <c r="N9" s="44">
        <v>0.88636363636363635</v>
      </c>
      <c r="O9" s="42" t="s">
        <v>1330</v>
      </c>
    </row>
    <row r="10" spans="1:16" s="38" customFormat="1" ht="20.5" customHeight="1">
      <c r="A10" s="40" t="s">
        <v>1</v>
      </c>
      <c r="B10" s="40" t="s">
        <v>1205</v>
      </c>
      <c r="C10" s="40">
        <v>2</v>
      </c>
      <c r="D10" s="40">
        <v>20</v>
      </c>
      <c r="E10" s="42">
        <v>22</v>
      </c>
      <c r="F10" s="40">
        <v>2</v>
      </c>
      <c r="G10" s="40">
        <v>20</v>
      </c>
      <c r="H10" s="41">
        <v>22</v>
      </c>
      <c r="I10" s="40">
        <v>2</v>
      </c>
      <c r="J10" s="42">
        <v>17.5</v>
      </c>
      <c r="K10" s="42">
        <v>19.5</v>
      </c>
      <c r="L10" s="43">
        <v>3344</v>
      </c>
      <c r="M10" s="43">
        <v>3444.32</v>
      </c>
      <c r="N10" s="44">
        <v>0.88636363636363635</v>
      </c>
      <c r="O10" s="42" t="s">
        <v>1330</v>
      </c>
    </row>
    <row r="11" spans="1:16" s="38" customFormat="1" ht="20.5" customHeight="1">
      <c r="A11" s="40" t="s">
        <v>4</v>
      </c>
      <c r="B11" s="40" t="s">
        <v>1202</v>
      </c>
      <c r="C11" s="40">
        <v>2</v>
      </c>
      <c r="D11" s="40">
        <v>15</v>
      </c>
      <c r="E11" s="42">
        <v>17</v>
      </c>
      <c r="F11" s="40">
        <v>2</v>
      </c>
      <c r="G11" s="40">
        <v>15</v>
      </c>
      <c r="H11" s="42">
        <v>17</v>
      </c>
      <c r="I11" s="40">
        <v>2</v>
      </c>
      <c r="J11" s="42">
        <v>14</v>
      </c>
      <c r="K11" s="42">
        <v>16</v>
      </c>
      <c r="L11" s="43">
        <v>2508</v>
      </c>
      <c r="M11" s="43">
        <v>2232.12</v>
      </c>
      <c r="N11" s="44">
        <v>0.94117647058823528</v>
      </c>
      <c r="O11" s="42" t="s">
        <v>1321</v>
      </c>
    </row>
    <row r="12" spans="1:16" s="38" customFormat="1" ht="20.5" customHeight="1">
      <c r="A12" s="40" t="s">
        <v>4</v>
      </c>
      <c r="B12" s="40" t="s">
        <v>1203</v>
      </c>
      <c r="C12" s="40">
        <v>2</v>
      </c>
      <c r="D12" s="40">
        <v>15</v>
      </c>
      <c r="E12" s="42">
        <v>17</v>
      </c>
      <c r="F12" s="40">
        <v>2</v>
      </c>
      <c r="G12" s="40">
        <v>15</v>
      </c>
      <c r="H12" s="42">
        <v>17</v>
      </c>
      <c r="I12" s="40">
        <v>2</v>
      </c>
      <c r="J12" s="42">
        <v>14</v>
      </c>
      <c r="K12" s="42">
        <v>16</v>
      </c>
      <c r="L12" s="43">
        <v>2508</v>
      </c>
      <c r="M12" s="43">
        <v>2232.12</v>
      </c>
      <c r="N12" s="44">
        <v>0.94117647058823528</v>
      </c>
      <c r="O12" s="42" t="s">
        <v>1321</v>
      </c>
    </row>
    <row r="13" spans="1:16" s="38" customFormat="1" ht="20.5" customHeight="1">
      <c r="A13" s="40" t="s">
        <v>4</v>
      </c>
      <c r="B13" s="40" t="s">
        <v>1204</v>
      </c>
      <c r="C13" s="40">
        <v>2</v>
      </c>
      <c r="D13" s="40">
        <v>15</v>
      </c>
      <c r="E13" s="42">
        <v>17</v>
      </c>
      <c r="F13" s="40">
        <v>2</v>
      </c>
      <c r="G13" s="40">
        <v>15</v>
      </c>
      <c r="H13" s="42">
        <v>17</v>
      </c>
      <c r="I13" s="40">
        <v>2</v>
      </c>
      <c r="J13" s="42">
        <v>14</v>
      </c>
      <c r="K13" s="42">
        <v>16</v>
      </c>
      <c r="L13" s="43">
        <v>2508</v>
      </c>
      <c r="M13" s="43">
        <v>2232.12</v>
      </c>
      <c r="N13" s="44">
        <v>0.94117647058823528</v>
      </c>
      <c r="O13" s="42" t="s">
        <v>1321</v>
      </c>
    </row>
    <row r="14" spans="1:16" s="38" customFormat="1" ht="20.5" customHeight="1">
      <c r="A14" s="40" t="s">
        <v>4</v>
      </c>
      <c r="B14" s="40" t="s">
        <v>1205</v>
      </c>
      <c r="C14" s="40">
        <v>2</v>
      </c>
      <c r="D14" s="40">
        <v>15</v>
      </c>
      <c r="E14" s="42">
        <v>17</v>
      </c>
      <c r="F14" s="40">
        <v>2</v>
      </c>
      <c r="G14" s="40">
        <v>15</v>
      </c>
      <c r="H14" s="42">
        <v>17</v>
      </c>
      <c r="I14" s="40">
        <v>2</v>
      </c>
      <c r="J14" s="42">
        <v>14</v>
      </c>
      <c r="K14" s="42">
        <v>16</v>
      </c>
      <c r="L14" s="43">
        <v>2508</v>
      </c>
      <c r="M14" s="43">
        <v>2232.12</v>
      </c>
      <c r="N14" s="44">
        <v>0.94117647058823528</v>
      </c>
      <c r="O14" s="42" t="s">
        <v>1321</v>
      </c>
    </row>
    <row r="15" spans="1:16" s="38" customFormat="1" ht="20.5" customHeight="1">
      <c r="A15" s="40" t="s">
        <v>4</v>
      </c>
      <c r="B15" s="40" t="s">
        <v>1205</v>
      </c>
      <c r="C15" s="40">
        <v>2</v>
      </c>
      <c r="D15" s="40">
        <v>15</v>
      </c>
      <c r="E15" s="42">
        <v>17</v>
      </c>
      <c r="F15" s="40">
        <v>2</v>
      </c>
      <c r="G15" s="40">
        <v>15</v>
      </c>
      <c r="H15" s="42">
        <v>17</v>
      </c>
      <c r="I15" s="40">
        <v>2</v>
      </c>
      <c r="J15" s="42">
        <v>14</v>
      </c>
      <c r="K15" s="42">
        <v>16</v>
      </c>
      <c r="L15" s="43">
        <v>2508</v>
      </c>
      <c r="M15" s="43">
        <v>2232.12</v>
      </c>
      <c r="N15" s="44">
        <v>0.94117647058823528</v>
      </c>
      <c r="O15" s="42" t="s">
        <v>1321</v>
      </c>
    </row>
    <row r="16" spans="1:16" s="38" customFormat="1" ht="20.5" customHeight="1">
      <c r="A16" s="40" t="s">
        <v>3</v>
      </c>
      <c r="B16" s="40" t="s">
        <v>1202</v>
      </c>
      <c r="C16" s="40">
        <v>1.8</v>
      </c>
      <c r="D16" s="40">
        <v>19.5</v>
      </c>
      <c r="E16" s="42">
        <v>21.3</v>
      </c>
      <c r="F16" s="40">
        <v>1.8</v>
      </c>
      <c r="G16" s="40">
        <v>17.5</v>
      </c>
      <c r="H16" s="42">
        <v>19.3</v>
      </c>
      <c r="I16" s="40">
        <v>1.8</v>
      </c>
      <c r="J16" s="176">
        <v>15.017942583732058</v>
      </c>
      <c r="K16" s="176">
        <v>16.817942583732059</v>
      </c>
      <c r="L16" s="43">
        <v>2926</v>
      </c>
      <c r="M16" s="43">
        <v>2511</v>
      </c>
      <c r="N16" s="44">
        <v>0.87139598879440716</v>
      </c>
      <c r="O16" s="42" t="s">
        <v>1330</v>
      </c>
    </row>
    <row r="17" spans="1:16" s="38" customFormat="1" ht="20.5" customHeight="1">
      <c r="A17" s="40" t="s">
        <v>3</v>
      </c>
      <c r="B17" s="40" t="s">
        <v>1203</v>
      </c>
      <c r="C17" s="40">
        <v>1.8</v>
      </c>
      <c r="D17" s="40">
        <v>17.5</v>
      </c>
      <c r="E17" s="42">
        <v>19.3</v>
      </c>
      <c r="F17" s="40">
        <v>1.8</v>
      </c>
      <c r="G17" s="40">
        <v>15.5</v>
      </c>
      <c r="H17" s="42">
        <v>17.3</v>
      </c>
      <c r="I17" s="40">
        <v>1.8</v>
      </c>
      <c r="J17" s="176">
        <v>15.496411483253588</v>
      </c>
      <c r="K17" s="176">
        <v>17.296411483253589</v>
      </c>
      <c r="L17" s="43">
        <v>2591.6</v>
      </c>
      <c r="M17" s="43">
        <v>2591</v>
      </c>
      <c r="N17" s="44">
        <v>0.99979257128633459</v>
      </c>
      <c r="O17" s="42" t="s">
        <v>1319</v>
      </c>
    </row>
    <row r="18" spans="1:16" s="38" customFormat="1" ht="20.5" customHeight="1">
      <c r="A18" s="40" t="s">
        <v>3</v>
      </c>
      <c r="B18" s="40" t="s">
        <v>1204</v>
      </c>
      <c r="C18" s="40">
        <v>1.8</v>
      </c>
      <c r="D18" s="40">
        <v>17.5</v>
      </c>
      <c r="E18" s="42">
        <v>19.3</v>
      </c>
      <c r="F18" s="40">
        <v>1.8</v>
      </c>
      <c r="G18" s="40">
        <v>16.5</v>
      </c>
      <c r="H18" s="42">
        <v>18.3</v>
      </c>
      <c r="I18" s="40">
        <v>1.8</v>
      </c>
      <c r="J18" s="176">
        <v>17.679425837320572</v>
      </c>
      <c r="K18" s="176">
        <v>19.479425837320573</v>
      </c>
      <c r="L18" s="43">
        <v>2758.7999999999997</v>
      </c>
      <c r="M18" s="43">
        <v>2956</v>
      </c>
      <c r="N18" s="44">
        <v>1.0644494993071352</v>
      </c>
      <c r="O18" s="42" t="s">
        <v>1318</v>
      </c>
    </row>
    <row r="19" spans="1:16">
      <c r="A19" s="40" t="s">
        <v>3</v>
      </c>
      <c r="B19" s="40" t="s">
        <v>1205</v>
      </c>
      <c r="C19" s="40">
        <v>1.8</v>
      </c>
      <c r="D19" s="40">
        <v>17.5</v>
      </c>
      <c r="E19" s="42">
        <v>19.3</v>
      </c>
      <c r="F19" s="40">
        <v>1.8</v>
      </c>
      <c r="G19" s="40">
        <v>16.5</v>
      </c>
      <c r="H19" s="42">
        <v>18.3</v>
      </c>
      <c r="I19" s="40">
        <v>1.8</v>
      </c>
      <c r="J19" s="176">
        <v>17.446172248803826</v>
      </c>
      <c r="K19" s="176">
        <v>19.246172248803827</v>
      </c>
      <c r="L19" s="43">
        <v>2758.7999999999997</v>
      </c>
      <c r="M19" s="43">
        <v>2917</v>
      </c>
      <c r="N19" s="44">
        <v>1.0517034015739797</v>
      </c>
      <c r="O19" s="42" t="s">
        <v>1318</v>
      </c>
      <c r="P19" s="38"/>
    </row>
  </sheetData>
  <phoneticPr fontId="3" type="noConversion"/>
  <conditionalFormatting sqref="O20:O671">
    <cfRule type="expression" dxfId="178" priority="49">
      <formula>$O20="Less Load"</formula>
    </cfRule>
    <cfRule type="expression" dxfId="177" priority="50">
      <formula>$O20="Balanced"</formula>
    </cfRule>
    <cfRule type="expression" dxfId="176" priority="51">
      <formula>$O20="High Load"</formula>
    </cfRule>
    <cfRule type="expression" dxfId="175" priority="52">
      <formula>$O20="Overload"</formula>
    </cfRule>
  </conditionalFormatting>
  <conditionalFormatting sqref="O3:O6">
    <cfRule type="expression" dxfId="114" priority="13">
      <formula>$O3="Less Load"</formula>
    </cfRule>
    <cfRule type="expression" dxfId="113" priority="14">
      <formula>$O3="Balanced"</formula>
    </cfRule>
    <cfRule type="expression" dxfId="112" priority="15">
      <formula>$O3="High Load"</formula>
    </cfRule>
    <cfRule type="expression" dxfId="111" priority="16">
      <formula>$O3="Overload"</formula>
    </cfRule>
  </conditionalFormatting>
  <conditionalFormatting sqref="O7:O10">
    <cfRule type="expression" dxfId="74" priority="9">
      <formula>$O7="Less Load"</formula>
    </cfRule>
    <cfRule type="expression" dxfId="73" priority="10">
      <formula>$O7="Balanced"</formula>
    </cfRule>
    <cfRule type="expression" dxfId="72" priority="11">
      <formula>$O7="High Load"</formula>
    </cfRule>
    <cfRule type="expression" dxfId="71" priority="12">
      <formula>$O7="Overload"</formula>
    </cfRule>
  </conditionalFormatting>
  <conditionalFormatting sqref="O11:O15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6:O19">
    <cfRule type="expression" dxfId="35" priority="1">
      <formula>$O16="Less Load"</formula>
    </cfRule>
    <cfRule type="expression" dxfId="34" priority="2">
      <formula>$O16="Balanced"</formula>
    </cfRule>
    <cfRule type="expression" dxfId="33" priority="3">
      <formula>$O16="High Load"</formula>
    </cfRule>
    <cfRule type="expression" dxfId="32" priority="4">
      <formula>$O16="Overload"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387350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H325"/>
  <sheetViews>
    <sheetView zoomScale="85" zoomScaleNormal="85" workbookViewId="0">
      <selection activeCell="A258" sqref="A258:H325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3" width="15.54296875" style="87" customWidth="1"/>
    <col min="4" max="5" width="16.81640625" style="45" customWidth="1"/>
    <col min="6" max="6" width="19" style="45" customWidth="1"/>
    <col min="7" max="7" width="16.81640625" style="45" customWidth="1"/>
    <col min="8" max="8" width="26.54296875" style="35" bestFit="1" customWidth="1"/>
    <col min="9" max="16384" width="8.7265625" style="35"/>
  </cols>
  <sheetData>
    <row r="1" spans="1:8" ht="32.5" customHeight="1">
      <c r="A1" s="32" t="s">
        <v>1228</v>
      </c>
      <c r="B1" s="33"/>
      <c r="C1" s="83"/>
      <c r="D1" s="34"/>
      <c r="E1" s="34"/>
      <c r="F1" s="34"/>
      <c r="G1" s="34"/>
    </row>
    <row r="2" spans="1:8" s="38" customFormat="1" ht="78" customHeight="1">
      <c r="A2" s="36" t="s">
        <v>5</v>
      </c>
      <c r="B2" s="36" t="s">
        <v>6</v>
      </c>
      <c r="C2" s="37" t="s">
        <v>1218</v>
      </c>
      <c r="D2" s="37" t="s">
        <v>1235</v>
      </c>
      <c r="E2" s="37" t="s">
        <v>1236</v>
      </c>
      <c r="F2" s="37" t="s">
        <v>1237</v>
      </c>
      <c r="G2" s="37" t="s">
        <v>1231</v>
      </c>
      <c r="H2" s="21" t="s">
        <v>1232</v>
      </c>
    </row>
    <row r="3" spans="1:8" s="38" customFormat="1" ht="20.5" customHeight="1">
      <c r="A3" s="40" t="s">
        <v>2</v>
      </c>
      <c r="B3" s="40" t="s">
        <v>1202</v>
      </c>
      <c r="C3" s="27" t="s">
        <v>1221</v>
      </c>
      <c r="D3" s="43">
        <v>167.2</v>
      </c>
      <c r="E3" s="31">
        <v>186</v>
      </c>
      <c r="F3" s="44">
        <v>1.1124401913875599</v>
      </c>
      <c r="G3" s="42" t="s">
        <v>1318</v>
      </c>
      <c r="H3" s="20"/>
    </row>
    <row r="4" spans="1:8" s="38" customFormat="1" ht="20.5" customHeight="1">
      <c r="A4" s="40" t="s">
        <v>2</v>
      </c>
      <c r="B4" s="40" t="s">
        <v>1202</v>
      </c>
      <c r="C4" s="27" t="s">
        <v>1223</v>
      </c>
      <c r="D4" s="43">
        <v>167.2</v>
      </c>
      <c r="E4" s="31">
        <v>108</v>
      </c>
      <c r="F4" s="44">
        <v>0.64593301435406703</v>
      </c>
      <c r="G4" s="42" t="s">
        <v>1320</v>
      </c>
      <c r="H4" s="20"/>
    </row>
    <row r="5" spans="1:8" s="38" customFormat="1" ht="20.5" customHeight="1">
      <c r="A5" s="40" t="s">
        <v>2</v>
      </c>
      <c r="B5" s="40" t="s">
        <v>1202</v>
      </c>
      <c r="C5" s="27" t="s">
        <v>1219</v>
      </c>
      <c r="D5" s="43">
        <v>167.2</v>
      </c>
      <c r="E5" s="31">
        <v>337</v>
      </c>
      <c r="F5" s="44">
        <v>2.0155502392344498</v>
      </c>
      <c r="G5" s="42" t="s">
        <v>1318</v>
      </c>
      <c r="H5" s="20"/>
    </row>
    <row r="6" spans="1:8" s="38" customFormat="1" ht="20.5" customHeight="1">
      <c r="A6" s="40" t="s">
        <v>2</v>
      </c>
      <c r="B6" s="40" t="s">
        <v>1202</v>
      </c>
      <c r="C6" s="27" t="s">
        <v>1226</v>
      </c>
      <c r="D6" s="43">
        <v>167.2</v>
      </c>
      <c r="E6" s="31">
        <v>321</v>
      </c>
      <c r="F6" s="44">
        <v>1.9198564593301437</v>
      </c>
      <c r="G6" s="42" t="s">
        <v>1318</v>
      </c>
    </row>
    <row r="7" spans="1:8" s="38" customFormat="1" ht="20.5" customHeight="1">
      <c r="A7" s="40" t="s">
        <v>2</v>
      </c>
      <c r="B7" s="40" t="s">
        <v>1202</v>
      </c>
      <c r="C7" s="27" t="s">
        <v>1225</v>
      </c>
      <c r="D7" s="43">
        <v>167.2</v>
      </c>
      <c r="E7" s="31">
        <v>161</v>
      </c>
      <c r="F7" s="44">
        <v>0.9629186602870814</v>
      </c>
      <c r="G7" s="42" t="s">
        <v>1319</v>
      </c>
    </row>
    <row r="8" spans="1:8" s="38" customFormat="1" ht="20.5" customHeight="1">
      <c r="A8" s="40" t="s">
        <v>2</v>
      </c>
      <c r="B8" s="40" t="s">
        <v>1202</v>
      </c>
      <c r="C8" s="27" t="s">
        <v>1224</v>
      </c>
      <c r="D8" s="43">
        <v>167.2</v>
      </c>
      <c r="E8" s="31">
        <v>128</v>
      </c>
      <c r="F8" s="44">
        <v>0.76555023923444976</v>
      </c>
      <c r="G8" s="42" t="s">
        <v>1320</v>
      </c>
    </row>
    <row r="9" spans="1:8" s="38" customFormat="1" ht="20.5" customHeight="1">
      <c r="A9" s="40" t="s">
        <v>2</v>
      </c>
      <c r="B9" s="40" t="s">
        <v>1202</v>
      </c>
      <c r="C9" s="27" t="s">
        <v>1222</v>
      </c>
      <c r="D9" s="43">
        <v>167.2</v>
      </c>
      <c r="E9" s="31">
        <v>149</v>
      </c>
      <c r="F9" s="44">
        <v>0.89114832535885169</v>
      </c>
      <c r="G9" s="42" t="s">
        <v>1320</v>
      </c>
    </row>
    <row r="10" spans="1:8" s="38" customFormat="1" ht="20.5" customHeight="1">
      <c r="A10" s="40" t="s">
        <v>2</v>
      </c>
      <c r="B10" s="40" t="s">
        <v>1202</v>
      </c>
      <c r="C10" s="27" t="s">
        <v>1227</v>
      </c>
      <c r="D10" s="43">
        <v>167.2</v>
      </c>
      <c r="E10" s="31">
        <v>175</v>
      </c>
      <c r="F10" s="44">
        <v>1.0466507177033493</v>
      </c>
      <c r="G10" s="42" t="s">
        <v>1318</v>
      </c>
    </row>
    <row r="11" spans="1:8" s="38" customFormat="1" ht="20.5" customHeight="1">
      <c r="A11" s="40" t="s">
        <v>2</v>
      </c>
      <c r="B11" s="40" t="s">
        <v>1202</v>
      </c>
      <c r="C11" s="27" t="s">
        <v>1220</v>
      </c>
      <c r="D11" s="43">
        <v>167.2</v>
      </c>
      <c r="E11" s="31">
        <v>303</v>
      </c>
      <c r="F11" s="44">
        <v>1.8122009569377993</v>
      </c>
      <c r="G11" s="42" t="s">
        <v>1318</v>
      </c>
    </row>
    <row r="12" spans="1:8" s="38" customFormat="1" ht="20.5" customHeight="1">
      <c r="A12" s="40" t="s">
        <v>2</v>
      </c>
      <c r="B12" s="40" t="s">
        <v>1203</v>
      </c>
      <c r="C12" s="27" t="s">
        <v>1221</v>
      </c>
      <c r="D12" s="43">
        <v>167.2</v>
      </c>
      <c r="E12" s="42">
        <v>178</v>
      </c>
      <c r="F12" s="44">
        <v>1.0645933014354068</v>
      </c>
      <c r="G12" s="42" t="s">
        <v>1318</v>
      </c>
    </row>
    <row r="13" spans="1:8" s="38" customFormat="1" ht="20.5" customHeight="1">
      <c r="A13" s="40" t="s">
        <v>2</v>
      </c>
      <c r="B13" s="40" t="s">
        <v>1203</v>
      </c>
      <c r="C13" s="27" t="s">
        <v>1223</v>
      </c>
      <c r="D13" s="43">
        <v>167.2</v>
      </c>
      <c r="E13" s="42">
        <v>107</v>
      </c>
      <c r="F13" s="44">
        <v>0.63995215311004794</v>
      </c>
      <c r="G13" s="42" t="s">
        <v>1320</v>
      </c>
    </row>
    <row r="14" spans="1:8" s="38" customFormat="1" ht="20.5" customHeight="1">
      <c r="A14" s="40" t="s">
        <v>2</v>
      </c>
      <c r="B14" s="40" t="s">
        <v>1203</v>
      </c>
      <c r="C14" s="27" t="s">
        <v>1219</v>
      </c>
      <c r="D14" s="43">
        <v>167.2</v>
      </c>
      <c r="E14" s="42">
        <v>314</v>
      </c>
      <c r="F14" s="44">
        <v>1.8779904306220097</v>
      </c>
      <c r="G14" s="42" t="s">
        <v>1318</v>
      </c>
    </row>
    <row r="15" spans="1:8" s="38" customFormat="1" ht="20.5" customHeight="1">
      <c r="A15" s="40" t="s">
        <v>2</v>
      </c>
      <c r="B15" s="40" t="s">
        <v>1203</v>
      </c>
      <c r="C15" s="27" t="s">
        <v>1226</v>
      </c>
      <c r="D15" s="43">
        <v>167.2</v>
      </c>
      <c r="E15" s="42">
        <v>205</v>
      </c>
      <c r="F15" s="44">
        <v>1.2260765550239234</v>
      </c>
      <c r="G15" s="42" t="s">
        <v>1318</v>
      </c>
    </row>
    <row r="16" spans="1:8" s="38" customFormat="1" ht="20.5" customHeight="1">
      <c r="A16" s="40" t="s">
        <v>2</v>
      </c>
      <c r="B16" s="40" t="s">
        <v>1203</v>
      </c>
      <c r="C16" s="27" t="s">
        <v>1225</v>
      </c>
      <c r="D16" s="43">
        <v>167.2</v>
      </c>
      <c r="E16" s="42">
        <v>172</v>
      </c>
      <c r="F16" s="44">
        <v>1.028708133971292</v>
      </c>
      <c r="G16" s="42" t="s">
        <v>1318</v>
      </c>
    </row>
    <row r="17" spans="1:7" s="38" customFormat="1" ht="20.5" customHeight="1">
      <c r="A17" s="40" t="s">
        <v>2</v>
      </c>
      <c r="B17" s="40" t="s">
        <v>1203</v>
      </c>
      <c r="C17" s="27" t="s">
        <v>1224</v>
      </c>
      <c r="D17" s="43">
        <v>167.2</v>
      </c>
      <c r="E17" s="42">
        <v>127</v>
      </c>
      <c r="F17" s="44">
        <v>0.75956937799043067</v>
      </c>
      <c r="G17" s="42" t="s">
        <v>1320</v>
      </c>
    </row>
    <row r="18" spans="1:7" s="38" customFormat="1" ht="20.5" customHeight="1">
      <c r="A18" s="40" t="s">
        <v>2</v>
      </c>
      <c r="B18" s="40" t="s">
        <v>1203</v>
      </c>
      <c r="C18" s="27" t="s">
        <v>1222</v>
      </c>
      <c r="D18" s="43">
        <v>167.2</v>
      </c>
      <c r="E18" s="42">
        <v>157</v>
      </c>
      <c r="F18" s="44">
        <v>0.93899521531100483</v>
      </c>
      <c r="G18" s="42" t="s">
        <v>1321</v>
      </c>
    </row>
    <row r="19" spans="1:7" s="38" customFormat="1" ht="20.5" customHeight="1">
      <c r="A19" s="40" t="s">
        <v>2</v>
      </c>
      <c r="B19" s="40" t="s">
        <v>1203</v>
      </c>
      <c r="C19" s="27" t="s">
        <v>1227</v>
      </c>
      <c r="D19" s="43">
        <v>167.2</v>
      </c>
      <c r="E19" s="42">
        <v>171</v>
      </c>
      <c r="F19" s="44">
        <v>1.0227272727272727</v>
      </c>
      <c r="G19" s="42" t="s">
        <v>1318</v>
      </c>
    </row>
    <row r="20" spans="1:7" s="38" customFormat="1" ht="20.5" customHeight="1">
      <c r="A20" s="40" t="s">
        <v>2</v>
      </c>
      <c r="B20" s="40" t="s">
        <v>1203</v>
      </c>
      <c r="C20" s="27" t="s">
        <v>1220</v>
      </c>
      <c r="D20" s="43">
        <v>167.2</v>
      </c>
      <c r="E20" s="42">
        <v>280</v>
      </c>
      <c r="F20" s="44">
        <v>1.6746411483253589</v>
      </c>
      <c r="G20" s="42" t="s">
        <v>1318</v>
      </c>
    </row>
    <row r="21" spans="1:7" s="38" customFormat="1" ht="20.5" customHeight="1">
      <c r="A21" s="40" t="s">
        <v>2</v>
      </c>
      <c r="B21" s="40" t="s">
        <v>1204</v>
      </c>
      <c r="C21" s="27" t="s">
        <v>1221</v>
      </c>
      <c r="D21" s="43">
        <v>167.2</v>
      </c>
      <c r="E21" s="42">
        <v>184</v>
      </c>
      <c r="F21" s="44">
        <v>1.1004784688995215</v>
      </c>
      <c r="G21" s="42" t="s">
        <v>1318</v>
      </c>
    </row>
    <row r="22" spans="1:7" s="38" customFormat="1" ht="20.5" customHeight="1">
      <c r="A22" s="40" t="s">
        <v>2</v>
      </c>
      <c r="B22" s="40" t="s">
        <v>1204</v>
      </c>
      <c r="C22" s="27" t="s">
        <v>1223</v>
      </c>
      <c r="D22" s="43">
        <v>167.2</v>
      </c>
      <c r="E22" s="42">
        <v>125</v>
      </c>
      <c r="F22" s="44">
        <v>0.74760765550239239</v>
      </c>
      <c r="G22" s="42" t="s">
        <v>1320</v>
      </c>
    </row>
    <row r="23" spans="1:7" s="38" customFormat="1" ht="20.5" customHeight="1">
      <c r="A23" s="40" t="s">
        <v>2</v>
      </c>
      <c r="B23" s="40" t="s">
        <v>1204</v>
      </c>
      <c r="C23" s="27" t="s">
        <v>1219</v>
      </c>
      <c r="D23" s="43">
        <v>167.2</v>
      </c>
      <c r="E23" s="42">
        <v>377</v>
      </c>
      <c r="F23" s="44">
        <v>2.2547846889952154</v>
      </c>
      <c r="G23" s="42" t="s">
        <v>1318</v>
      </c>
    </row>
    <row r="24" spans="1:7" s="38" customFormat="1" ht="20.5" customHeight="1">
      <c r="A24" s="40" t="s">
        <v>2</v>
      </c>
      <c r="B24" s="40" t="s">
        <v>1204</v>
      </c>
      <c r="C24" s="27" t="s">
        <v>1226</v>
      </c>
      <c r="D24" s="43">
        <v>167.2</v>
      </c>
      <c r="E24" s="42">
        <v>237</v>
      </c>
      <c r="F24" s="44">
        <v>1.417464114832536</v>
      </c>
      <c r="G24" s="42" t="s">
        <v>1318</v>
      </c>
    </row>
    <row r="25" spans="1:7" s="38" customFormat="1" ht="20.5" customHeight="1">
      <c r="A25" s="40" t="s">
        <v>2</v>
      </c>
      <c r="B25" s="40" t="s">
        <v>1204</v>
      </c>
      <c r="C25" s="27" t="s">
        <v>1225</v>
      </c>
      <c r="D25" s="43">
        <v>167.2</v>
      </c>
      <c r="E25" s="42">
        <v>150</v>
      </c>
      <c r="F25" s="44">
        <v>0.89712918660287089</v>
      </c>
      <c r="G25" s="42" t="s">
        <v>1320</v>
      </c>
    </row>
    <row r="26" spans="1:7" s="38" customFormat="1" ht="20.5" customHeight="1">
      <c r="A26" s="40" t="s">
        <v>2</v>
      </c>
      <c r="B26" s="40" t="s">
        <v>1204</v>
      </c>
      <c r="C26" s="27" t="s">
        <v>1224</v>
      </c>
      <c r="D26" s="43">
        <v>167.2</v>
      </c>
      <c r="E26" s="42">
        <v>129</v>
      </c>
      <c r="F26" s="44">
        <v>0.77153110047846896</v>
      </c>
      <c r="G26" s="42" t="s">
        <v>1320</v>
      </c>
    </row>
    <row r="27" spans="1:7" s="38" customFormat="1" ht="20.5" customHeight="1">
      <c r="A27" s="40" t="s">
        <v>2</v>
      </c>
      <c r="B27" s="40" t="s">
        <v>1204</v>
      </c>
      <c r="C27" s="27" t="s">
        <v>1222</v>
      </c>
      <c r="D27" s="43">
        <v>167.2</v>
      </c>
      <c r="E27" s="42">
        <v>180</v>
      </c>
      <c r="F27" s="44">
        <v>1.0765550239234452</v>
      </c>
      <c r="G27" s="42" t="s">
        <v>1318</v>
      </c>
    </row>
    <row r="28" spans="1:7" s="38" customFormat="1" ht="20.5" customHeight="1">
      <c r="A28" s="40" t="s">
        <v>2</v>
      </c>
      <c r="B28" s="40" t="s">
        <v>1204</v>
      </c>
      <c r="C28" s="27" t="s">
        <v>1227</v>
      </c>
      <c r="D28" s="43">
        <v>167.2</v>
      </c>
      <c r="E28" s="42">
        <v>177</v>
      </c>
      <c r="F28" s="44">
        <v>1.0586124401913877</v>
      </c>
      <c r="G28" s="42" t="s">
        <v>1318</v>
      </c>
    </row>
    <row r="29" spans="1:7" s="38" customFormat="1" ht="20.5" customHeight="1">
      <c r="A29" s="40" t="s">
        <v>2</v>
      </c>
      <c r="B29" s="40" t="s">
        <v>1204</v>
      </c>
      <c r="C29" s="27" t="s">
        <v>1220</v>
      </c>
      <c r="D29" s="43">
        <v>167.2</v>
      </c>
      <c r="E29" s="42">
        <v>367</v>
      </c>
      <c r="F29" s="44">
        <v>2.1949760765550241</v>
      </c>
      <c r="G29" s="42" t="s">
        <v>1318</v>
      </c>
    </row>
    <row r="30" spans="1:7" s="38" customFormat="1" ht="20.5" customHeight="1">
      <c r="A30" s="40" t="s">
        <v>2</v>
      </c>
      <c r="B30" s="40" t="s">
        <v>1205</v>
      </c>
      <c r="C30" s="27" t="s">
        <v>1221</v>
      </c>
      <c r="D30" s="43">
        <v>167.2</v>
      </c>
      <c r="E30" s="42">
        <v>186</v>
      </c>
      <c r="F30" s="44">
        <v>1.1124401913875599</v>
      </c>
      <c r="G30" s="42" t="s">
        <v>1318</v>
      </c>
    </row>
    <row r="31" spans="1:7" s="38" customFormat="1" ht="20.5" customHeight="1">
      <c r="A31" s="40" t="s">
        <v>2</v>
      </c>
      <c r="B31" s="40" t="s">
        <v>1205</v>
      </c>
      <c r="C31" s="27" t="s">
        <v>1223</v>
      </c>
      <c r="D31" s="43">
        <v>167.2</v>
      </c>
      <c r="E31" s="42">
        <v>103</v>
      </c>
      <c r="F31" s="44">
        <v>0.61602870813397137</v>
      </c>
      <c r="G31" s="42" t="s">
        <v>1320</v>
      </c>
    </row>
    <row r="32" spans="1:7" s="38" customFormat="1" ht="20.5" customHeight="1">
      <c r="A32" s="40" t="s">
        <v>2</v>
      </c>
      <c r="B32" s="40" t="s">
        <v>1205</v>
      </c>
      <c r="C32" s="27" t="s">
        <v>1219</v>
      </c>
      <c r="D32" s="43">
        <v>167.2</v>
      </c>
      <c r="E32" s="42">
        <v>426</v>
      </c>
      <c r="F32" s="44">
        <v>2.5478468899521531</v>
      </c>
      <c r="G32" s="42" t="s">
        <v>1318</v>
      </c>
    </row>
    <row r="33" spans="1:7" s="38" customFormat="1" ht="20.5" customHeight="1">
      <c r="A33" s="40" t="s">
        <v>2</v>
      </c>
      <c r="B33" s="40" t="s">
        <v>1205</v>
      </c>
      <c r="C33" s="27" t="s">
        <v>1226</v>
      </c>
      <c r="D33" s="43">
        <v>167.2</v>
      </c>
      <c r="E33" s="42">
        <v>247</v>
      </c>
      <c r="F33" s="44">
        <v>1.4772727272727273</v>
      </c>
      <c r="G33" s="42" t="s">
        <v>1318</v>
      </c>
    </row>
    <row r="34" spans="1:7" s="38" customFormat="1" ht="20.5" customHeight="1">
      <c r="A34" s="40" t="s">
        <v>2</v>
      </c>
      <c r="B34" s="40" t="s">
        <v>1205</v>
      </c>
      <c r="C34" s="27" t="s">
        <v>1225</v>
      </c>
      <c r="D34" s="43">
        <v>167.2</v>
      </c>
      <c r="E34" s="42">
        <v>165</v>
      </c>
      <c r="F34" s="44">
        <v>0.98684210526315796</v>
      </c>
      <c r="G34" s="42" t="s">
        <v>1319</v>
      </c>
    </row>
    <row r="35" spans="1:7" s="38" customFormat="1" ht="20.5" customHeight="1">
      <c r="A35" s="40" t="s">
        <v>2</v>
      </c>
      <c r="B35" s="40" t="s">
        <v>1205</v>
      </c>
      <c r="C35" s="27" t="s">
        <v>1224</v>
      </c>
      <c r="D35" s="43">
        <v>167.2</v>
      </c>
      <c r="E35" s="42">
        <v>119</v>
      </c>
      <c r="F35" s="44">
        <v>0.71172248803827753</v>
      </c>
      <c r="G35" s="42" t="s">
        <v>1320</v>
      </c>
    </row>
    <row r="36" spans="1:7" s="38" customFormat="1" ht="20.5" customHeight="1">
      <c r="A36" s="40" t="s">
        <v>2</v>
      </c>
      <c r="B36" s="40" t="s">
        <v>1205</v>
      </c>
      <c r="C36" s="27" t="s">
        <v>1222</v>
      </c>
      <c r="D36" s="43">
        <v>167.2</v>
      </c>
      <c r="E36" s="42">
        <v>206</v>
      </c>
      <c r="F36" s="44">
        <v>1.2320574162679427</v>
      </c>
      <c r="G36" s="42" t="s">
        <v>1318</v>
      </c>
    </row>
    <row r="37" spans="1:7" s="38" customFormat="1" ht="20.5" customHeight="1">
      <c r="A37" s="40" t="s">
        <v>2</v>
      </c>
      <c r="B37" s="40" t="s">
        <v>1205</v>
      </c>
      <c r="C37" s="27" t="s">
        <v>1227</v>
      </c>
      <c r="D37" s="43">
        <v>167.2</v>
      </c>
      <c r="E37" s="42">
        <v>186</v>
      </c>
      <c r="F37" s="44">
        <v>1.1124401913875599</v>
      </c>
      <c r="G37" s="42" t="s">
        <v>1318</v>
      </c>
    </row>
    <row r="38" spans="1:7" s="38" customFormat="1" ht="20.5" customHeight="1">
      <c r="A38" s="40" t="s">
        <v>2</v>
      </c>
      <c r="B38" s="40" t="s">
        <v>1205</v>
      </c>
      <c r="C38" s="27" t="s">
        <v>1220</v>
      </c>
      <c r="D38" s="43">
        <v>167.2</v>
      </c>
      <c r="E38" s="42">
        <v>310</v>
      </c>
      <c r="F38" s="44">
        <v>1.8540669856459331</v>
      </c>
      <c r="G38" s="42" t="s">
        <v>1318</v>
      </c>
    </row>
    <row r="39" spans="1:7">
      <c r="A39" s="40" t="s">
        <v>1</v>
      </c>
      <c r="B39" s="40" t="s">
        <v>1202</v>
      </c>
      <c r="C39" s="27" t="s">
        <v>1304</v>
      </c>
      <c r="D39" s="43">
        <v>167.2</v>
      </c>
      <c r="E39" s="31">
        <v>161</v>
      </c>
      <c r="F39" s="44">
        <v>0.9629186602870814</v>
      </c>
      <c r="G39" s="42" t="s">
        <v>1319</v>
      </c>
    </row>
    <row r="40" spans="1:7">
      <c r="A40" s="40" t="s">
        <v>1</v>
      </c>
      <c r="B40" s="40" t="s">
        <v>1202</v>
      </c>
      <c r="C40" s="27" t="s">
        <v>1305</v>
      </c>
      <c r="D40" s="43">
        <v>167.2</v>
      </c>
      <c r="E40" s="31">
        <v>96</v>
      </c>
      <c r="F40" s="44">
        <v>0.57416267942583732</v>
      </c>
      <c r="G40" s="42" t="s">
        <v>1320</v>
      </c>
    </row>
    <row r="41" spans="1:7">
      <c r="A41" s="40" t="s">
        <v>1</v>
      </c>
      <c r="B41" s="40" t="s">
        <v>1202</v>
      </c>
      <c r="C41" s="27" t="s">
        <v>1306</v>
      </c>
      <c r="D41" s="43">
        <v>167.2</v>
      </c>
      <c r="E41" s="31">
        <v>335</v>
      </c>
      <c r="F41" s="44">
        <v>2.0035885167464116</v>
      </c>
      <c r="G41" s="42" t="s">
        <v>1318</v>
      </c>
    </row>
    <row r="42" spans="1:7">
      <c r="A42" s="40" t="s">
        <v>1</v>
      </c>
      <c r="B42" s="40" t="s">
        <v>1203</v>
      </c>
      <c r="C42" s="27" t="s">
        <v>1304</v>
      </c>
      <c r="D42" s="43">
        <v>167.2</v>
      </c>
      <c r="E42" s="42">
        <v>128</v>
      </c>
      <c r="F42" s="44">
        <v>0.76555023923444976</v>
      </c>
      <c r="G42" s="42" t="s">
        <v>1320</v>
      </c>
    </row>
    <row r="43" spans="1:7">
      <c r="A43" s="40" t="s">
        <v>1</v>
      </c>
      <c r="B43" s="40" t="s">
        <v>1203</v>
      </c>
      <c r="C43" s="27" t="s">
        <v>1305</v>
      </c>
      <c r="D43" s="43">
        <v>167.2</v>
      </c>
      <c r="E43" s="42">
        <v>111</v>
      </c>
      <c r="F43" s="44">
        <v>0.6638755980861244</v>
      </c>
      <c r="G43" s="42" t="s">
        <v>1320</v>
      </c>
    </row>
    <row r="44" spans="1:7">
      <c r="A44" s="40" t="s">
        <v>1</v>
      </c>
      <c r="B44" s="40" t="s">
        <v>1203</v>
      </c>
      <c r="C44" s="27" t="s">
        <v>1306</v>
      </c>
      <c r="D44" s="43">
        <v>167.2</v>
      </c>
      <c r="E44" s="42">
        <v>201</v>
      </c>
      <c r="F44" s="44">
        <v>1.2021531100478469</v>
      </c>
      <c r="G44" s="42" t="s">
        <v>1318</v>
      </c>
    </row>
    <row r="45" spans="1:7">
      <c r="A45" s="40" t="s">
        <v>1</v>
      </c>
      <c r="B45" s="40" t="s">
        <v>1204</v>
      </c>
      <c r="C45" s="27" t="s">
        <v>1304</v>
      </c>
      <c r="D45" s="43">
        <v>167.2</v>
      </c>
      <c r="E45" s="31">
        <v>161</v>
      </c>
      <c r="F45" s="44">
        <v>0.9629186602870814</v>
      </c>
      <c r="G45" s="42" t="s">
        <v>1319</v>
      </c>
    </row>
    <row r="46" spans="1:7">
      <c r="A46" s="40" t="s">
        <v>1</v>
      </c>
      <c r="B46" s="40" t="s">
        <v>1204</v>
      </c>
      <c r="C46" s="27" t="s">
        <v>1305</v>
      </c>
      <c r="D46" s="43">
        <v>167.2</v>
      </c>
      <c r="E46" s="31">
        <v>96</v>
      </c>
      <c r="F46" s="44">
        <v>0.57416267942583732</v>
      </c>
      <c r="G46" s="42" t="s">
        <v>1320</v>
      </c>
    </row>
    <row r="47" spans="1:7">
      <c r="A47" s="40" t="s">
        <v>1</v>
      </c>
      <c r="B47" s="40" t="s">
        <v>1204</v>
      </c>
      <c r="C47" s="27" t="s">
        <v>1306</v>
      </c>
      <c r="D47" s="43">
        <v>167.2</v>
      </c>
      <c r="E47" s="31">
        <v>335</v>
      </c>
      <c r="F47" s="44">
        <v>2.0035885167464116</v>
      </c>
      <c r="G47" s="42" t="s">
        <v>1318</v>
      </c>
    </row>
    <row r="48" spans="1:7">
      <c r="A48" s="40" t="s">
        <v>1</v>
      </c>
      <c r="B48" s="40" t="s">
        <v>1205</v>
      </c>
      <c r="C48" s="27" t="s">
        <v>1304</v>
      </c>
      <c r="D48" s="43">
        <v>167.2</v>
      </c>
      <c r="E48" s="42">
        <v>128</v>
      </c>
      <c r="F48" s="44">
        <v>0.76555023923444976</v>
      </c>
      <c r="G48" s="42" t="s">
        <v>1320</v>
      </c>
    </row>
    <row r="49" spans="1:8">
      <c r="A49" s="40" t="s">
        <v>1</v>
      </c>
      <c r="B49" s="40" t="s">
        <v>1205</v>
      </c>
      <c r="C49" s="27" t="s">
        <v>1305</v>
      </c>
      <c r="D49" s="43">
        <v>167.2</v>
      </c>
      <c r="E49" s="42">
        <v>111</v>
      </c>
      <c r="F49" s="44">
        <v>0.6638755980861244</v>
      </c>
      <c r="G49" s="42" t="s">
        <v>1320</v>
      </c>
    </row>
    <row r="50" spans="1:8">
      <c r="A50" s="40" t="s">
        <v>1</v>
      </c>
      <c r="B50" s="40" t="s">
        <v>1205</v>
      </c>
      <c r="C50" s="27" t="s">
        <v>1306</v>
      </c>
      <c r="D50" s="43">
        <v>167.2</v>
      </c>
      <c r="E50" s="42">
        <v>201</v>
      </c>
      <c r="F50" s="44">
        <v>1.2021531100478469</v>
      </c>
      <c r="G50" s="42" t="s">
        <v>1318</v>
      </c>
    </row>
    <row r="51" spans="1:8">
      <c r="A51" s="39" t="s">
        <v>4</v>
      </c>
      <c r="B51" s="40" t="s">
        <v>1202</v>
      </c>
      <c r="C51" s="27" t="s">
        <v>1431</v>
      </c>
      <c r="D51" s="43">
        <v>10032</v>
      </c>
      <c r="E51" s="136">
        <v>4747.4280383173018</v>
      </c>
      <c r="F51" s="44">
        <v>0.47322847271902929</v>
      </c>
      <c r="G51" s="42" t="s">
        <v>1432</v>
      </c>
      <c r="H51" s="20"/>
    </row>
    <row r="52" spans="1:8">
      <c r="A52" s="39" t="s">
        <v>4</v>
      </c>
      <c r="B52" s="40" t="s">
        <v>1202</v>
      </c>
      <c r="C52" s="27" t="s">
        <v>1433</v>
      </c>
      <c r="D52" s="43">
        <v>10032</v>
      </c>
      <c r="E52" s="136">
        <v>7121.3396693656414</v>
      </c>
      <c r="F52" s="44">
        <v>0.7098624072334172</v>
      </c>
      <c r="G52" s="42" t="s">
        <v>1432</v>
      </c>
      <c r="H52" s="20"/>
    </row>
    <row r="53" spans="1:8">
      <c r="A53" s="39" t="s">
        <v>4</v>
      </c>
      <c r="B53" s="40" t="s">
        <v>1202</v>
      </c>
      <c r="C53" s="27" t="s">
        <v>1434</v>
      </c>
      <c r="D53" s="43">
        <v>10032</v>
      </c>
      <c r="E53" s="136">
        <v>10544.768046647065</v>
      </c>
      <c r="F53" s="44">
        <v>1.0511132422893805</v>
      </c>
      <c r="G53" s="42" t="s">
        <v>1318</v>
      </c>
      <c r="H53" s="20"/>
    </row>
    <row r="54" spans="1:8">
      <c r="A54" s="39" t="s">
        <v>4</v>
      </c>
      <c r="B54" s="40" t="s">
        <v>1202</v>
      </c>
      <c r="C54" s="27" t="s">
        <v>1435</v>
      </c>
      <c r="D54" s="43">
        <v>10032</v>
      </c>
      <c r="E54" s="136">
        <v>8266.5005702168273</v>
      </c>
      <c r="F54" s="44">
        <v>0.82401321473453226</v>
      </c>
      <c r="G54" s="42" t="s">
        <v>1432</v>
      </c>
      <c r="H54" s="38"/>
    </row>
    <row r="55" spans="1:8">
      <c r="A55" s="39" t="s">
        <v>4</v>
      </c>
      <c r="B55" s="40" t="s">
        <v>1202</v>
      </c>
      <c r="C55" s="27" t="s">
        <v>1436</v>
      </c>
      <c r="D55" s="43">
        <v>10032</v>
      </c>
      <c r="E55" s="136">
        <v>12291.251149045895</v>
      </c>
      <c r="F55" s="44">
        <v>1.2252044606305716</v>
      </c>
      <c r="G55" s="42" t="s">
        <v>1318</v>
      </c>
      <c r="H55" s="38"/>
    </row>
    <row r="56" spans="1:8">
      <c r="A56" s="39" t="s">
        <v>4</v>
      </c>
      <c r="B56" s="40" t="s">
        <v>1202</v>
      </c>
      <c r="C56" s="27" t="s">
        <v>1306</v>
      </c>
      <c r="D56" s="43">
        <v>10032</v>
      </c>
      <c r="E56" s="136">
        <v>9693.5745929237873</v>
      </c>
      <c r="F56" s="44">
        <v>0.9662654099804413</v>
      </c>
      <c r="G56" s="42" t="s">
        <v>1319</v>
      </c>
      <c r="H56" s="38"/>
    </row>
    <row r="57" spans="1:8">
      <c r="A57" s="39" t="s">
        <v>4</v>
      </c>
      <c r="B57" s="40" t="s">
        <v>1202</v>
      </c>
      <c r="C57" s="27" t="s">
        <v>1437</v>
      </c>
      <c r="D57" s="43">
        <v>10032</v>
      </c>
      <c r="E57" s="136">
        <v>8411.7453091513526</v>
      </c>
      <c r="F57" s="44">
        <v>0.8384913585677185</v>
      </c>
      <c r="G57" s="42" t="s">
        <v>1432</v>
      </c>
      <c r="H57" s="38"/>
    </row>
    <row r="58" spans="1:8">
      <c r="A58" s="39" t="s">
        <v>4</v>
      </c>
      <c r="B58" s="40" t="s">
        <v>1202</v>
      </c>
      <c r="C58" s="27" t="s">
        <v>1438</v>
      </c>
      <c r="D58" s="43">
        <v>10032</v>
      </c>
      <c r="E58" s="136">
        <v>8710.5344863881037</v>
      </c>
      <c r="F58" s="44">
        <v>0.86827496873884602</v>
      </c>
      <c r="G58" s="42" t="s">
        <v>1432</v>
      </c>
      <c r="H58" s="38"/>
    </row>
    <row r="59" spans="1:8">
      <c r="A59" s="39" t="s">
        <v>4</v>
      </c>
      <c r="B59" s="40" t="s">
        <v>1202</v>
      </c>
      <c r="C59" s="27" t="s">
        <v>1439</v>
      </c>
      <c r="D59" s="43">
        <v>10032</v>
      </c>
      <c r="E59" s="136">
        <v>9474.1068282153592</v>
      </c>
      <c r="F59" s="44">
        <v>0.94438863917617222</v>
      </c>
      <c r="G59" s="42" t="s">
        <v>1321</v>
      </c>
      <c r="H59" s="38"/>
    </row>
    <row r="60" spans="1:8">
      <c r="A60" s="39" t="s">
        <v>4</v>
      </c>
      <c r="B60" s="40" t="s">
        <v>1202</v>
      </c>
      <c r="C60" s="27" t="s">
        <v>1440</v>
      </c>
      <c r="D60" s="43">
        <v>10032</v>
      </c>
      <c r="E60" s="136">
        <v>9983.1550561002059</v>
      </c>
      <c r="F60" s="44">
        <v>0.9951310861343905</v>
      </c>
      <c r="G60" s="42" t="s">
        <v>1319</v>
      </c>
      <c r="H60" s="38"/>
    </row>
    <row r="61" spans="1:8">
      <c r="A61" s="39" t="s">
        <v>4</v>
      </c>
      <c r="B61" s="40" t="s">
        <v>1202</v>
      </c>
      <c r="C61" s="27" t="s">
        <v>1441</v>
      </c>
      <c r="D61" s="43">
        <v>10032</v>
      </c>
      <c r="E61" s="136">
        <v>9294.28000858214</v>
      </c>
      <c r="F61" s="44">
        <v>0.92646331823984651</v>
      </c>
      <c r="G61" s="42" t="s">
        <v>1321</v>
      </c>
      <c r="H61" s="38"/>
    </row>
    <row r="62" spans="1:8">
      <c r="A62" s="39" t="s">
        <v>4</v>
      </c>
      <c r="B62" s="40" t="s">
        <v>1202</v>
      </c>
      <c r="C62" s="27" t="s">
        <v>1442</v>
      </c>
      <c r="D62" s="43">
        <v>10032</v>
      </c>
      <c r="E62" s="136">
        <v>9211.24233010442</v>
      </c>
      <c r="F62" s="44">
        <v>0.91818603768983453</v>
      </c>
      <c r="G62" s="42" t="s">
        <v>1321</v>
      </c>
      <c r="H62" s="38"/>
    </row>
    <row r="63" spans="1:8">
      <c r="A63" s="39" t="s">
        <v>4</v>
      </c>
      <c r="B63" s="40" t="s">
        <v>1202</v>
      </c>
      <c r="C63" s="27" t="s">
        <v>1443</v>
      </c>
      <c r="D63" s="43">
        <v>10032</v>
      </c>
      <c r="E63" s="136">
        <v>7326.4212885034094</v>
      </c>
      <c r="F63" s="44">
        <v>0.73030515236278004</v>
      </c>
      <c r="G63" s="42" t="s">
        <v>1432</v>
      </c>
      <c r="H63" s="38"/>
    </row>
    <row r="64" spans="1:8">
      <c r="A64" s="39" t="s">
        <v>4</v>
      </c>
      <c r="B64" s="40" t="s">
        <v>1202</v>
      </c>
      <c r="C64" s="27" t="s">
        <v>1444</v>
      </c>
      <c r="D64" s="43">
        <v>10032</v>
      </c>
      <c r="E64" s="136">
        <v>7363.9774281421896</v>
      </c>
      <c r="F64" s="44">
        <v>0.73404878669678919</v>
      </c>
      <c r="G64" s="42" t="s">
        <v>1432</v>
      </c>
      <c r="H64" s="38"/>
    </row>
    <row r="65" spans="1:8">
      <c r="A65" s="39" t="s">
        <v>4</v>
      </c>
      <c r="B65" s="40" t="s">
        <v>1203</v>
      </c>
      <c r="C65" s="27" t="s">
        <v>1431</v>
      </c>
      <c r="D65" s="43">
        <v>10032</v>
      </c>
      <c r="E65" s="136">
        <v>8961.3550712657379</v>
      </c>
      <c r="F65" s="44">
        <v>0.89327702066046033</v>
      </c>
      <c r="G65" s="42" t="s">
        <v>1432</v>
      </c>
      <c r="H65" s="38"/>
    </row>
    <row r="66" spans="1:8">
      <c r="A66" s="39" t="s">
        <v>4</v>
      </c>
      <c r="B66" s="40" t="s">
        <v>1203</v>
      </c>
      <c r="C66" s="27" t="s">
        <v>1433</v>
      </c>
      <c r="D66" s="43">
        <v>10032</v>
      </c>
      <c r="E66" s="136">
        <v>7892.487329772006</v>
      </c>
      <c r="F66" s="44">
        <v>0.78673119315909146</v>
      </c>
      <c r="G66" s="42" t="s">
        <v>1432</v>
      </c>
      <c r="H66" s="38"/>
    </row>
    <row r="67" spans="1:8">
      <c r="A67" s="39" t="s">
        <v>4</v>
      </c>
      <c r="B67" s="40" t="s">
        <v>1203</v>
      </c>
      <c r="C67" s="27" t="s">
        <v>1434</v>
      </c>
      <c r="D67" s="43">
        <v>10032</v>
      </c>
      <c r="E67" s="136">
        <v>10068.415500788333</v>
      </c>
      <c r="F67" s="44">
        <v>1.0036299342891082</v>
      </c>
      <c r="G67" s="42" t="s">
        <v>1318</v>
      </c>
      <c r="H67" s="38"/>
    </row>
    <row r="68" spans="1:8">
      <c r="A68" s="39" t="s">
        <v>4</v>
      </c>
      <c r="B68" s="40" t="s">
        <v>1203</v>
      </c>
      <c r="C68" s="27" t="s">
        <v>1445</v>
      </c>
      <c r="D68" s="43">
        <v>10032</v>
      </c>
      <c r="E68" s="136">
        <v>2943.7911087905932</v>
      </c>
      <c r="F68" s="44">
        <v>0.29344010255089648</v>
      </c>
      <c r="G68" s="42" t="s">
        <v>1432</v>
      </c>
      <c r="H68" s="38"/>
    </row>
    <row r="69" spans="1:8">
      <c r="A69" s="39" t="s">
        <v>4</v>
      </c>
      <c r="B69" s="40" t="s">
        <v>1203</v>
      </c>
      <c r="C69" s="27" t="s">
        <v>1435</v>
      </c>
      <c r="D69" s="43">
        <v>10032</v>
      </c>
      <c r="E69" s="136">
        <v>11601.081741108073</v>
      </c>
      <c r="F69" s="44">
        <v>1.1564076695681891</v>
      </c>
      <c r="G69" s="42" t="s">
        <v>1318</v>
      </c>
      <c r="H69" s="38"/>
    </row>
    <row r="70" spans="1:8">
      <c r="A70" s="39" t="s">
        <v>4</v>
      </c>
      <c r="B70" s="40" t="s">
        <v>1203</v>
      </c>
      <c r="C70" s="27" t="s">
        <v>1436</v>
      </c>
      <c r="D70" s="43">
        <v>10032</v>
      </c>
      <c r="E70" s="136">
        <v>10711.888440811086</v>
      </c>
      <c r="F70" s="44">
        <v>1.0677719737650604</v>
      </c>
      <c r="G70" s="42" t="s">
        <v>1318</v>
      </c>
      <c r="H70" s="38"/>
    </row>
    <row r="71" spans="1:8">
      <c r="A71" s="39" t="s">
        <v>4</v>
      </c>
      <c r="B71" s="40" t="s">
        <v>1203</v>
      </c>
      <c r="C71" s="27" t="s">
        <v>1306</v>
      </c>
      <c r="D71" s="43">
        <v>10032</v>
      </c>
      <c r="E71" s="136">
        <v>10724.492731225002</v>
      </c>
      <c r="F71" s="44">
        <v>1.0690283822991429</v>
      </c>
      <c r="G71" s="42" t="s">
        <v>1318</v>
      </c>
      <c r="H71" s="38"/>
    </row>
    <row r="72" spans="1:8">
      <c r="A72" s="39" t="s">
        <v>4</v>
      </c>
      <c r="B72" s="40" t="s">
        <v>1203</v>
      </c>
      <c r="C72" s="27" t="s">
        <v>1437</v>
      </c>
      <c r="D72" s="43">
        <v>10032</v>
      </c>
      <c r="E72" s="136">
        <v>10717.585692616451</v>
      </c>
      <c r="F72" s="44">
        <v>1.0683398816403957</v>
      </c>
      <c r="G72" s="42" t="s">
        <v>1318</v>
      </c>
      <c r="H72" s="38"/>
    </row>
    <row r="73" spans="1:8">
      <c r="A73" s="39" t="s">
        <v>4</v>
      </c>
      <c r="B73" s="40" t="s">
        <v>1203</v>
      </c>
      <c r="C73" s="27" t="s">
        <v>1438</v>
      </c>
      <c r="D73" s="43">
        <v>10032</v>
      </c>
      <c r="E73" s="136">
        <v>11669.308089888949</v>
      </c>
      <c r="F73" s="44">
        <v>1.1632085416555971</v>
      </c>
      <c r="G73" s="42" t="s">
        <v>1318</v>
      </c>
      <c r="H73" s="38"/>
    </row>
    <row r="74" spans="1:8">
      <c r="A74" s="39" t="s">
        <v>4</v>
      </c>
      <c r="B74" s="40" t="s">
        <v>1203</v>
      </c>
      <c r="C74" s="27" t="s">
        <v>1446</v>
      </c>
      <c r="D74" s="43">
        <v>10032</v>
      </c>
      <c r="E74" s="136">
        <v>2700.5079062330692</v>
      </c>
      <c r="F74" s="44">
        <v>0.26918938459261055</v>
      </c>
      <c r="G74" s="42" t="s">
        <v>1432</v>
      </c>
      <c r="H74" s="38"/>
    </row>
    <row r="75" spans="1:8">
      <c r="A75" s="39" t="s">
        <v>4</v>
      </c>
      <c r="B75" s="40" t="s">
        <v>1203</v>
      </c>
      <c r="C75" s="27" t="s">
        <v>1439</v>
      </c>
      <c r="D75" s="43">
        <v>10032</v>
      </c>
      <c r="E75" s="136">
        <v>13070.550688252895</v>
      </c>
      <c r="F75" s="44">
        <v>1.3028858341559904</v>
      </c>
      <c r="G75" s="42" t="s">
        <v>1318</v>
      </c>
      <c r="H75" s="38"/>
    </row>
    <row r="76" spans="1:8">
      <c r="A76" s="39" t="s">
        <v>4</v>
      </c>
      <c r="B76" s="40" t="s">
        <v>1203</v>
      </c>
      <c r="C76" s="27" t="s">
        <v>1440</v>
      </c>
      <c r="D76" s="43">
        <v>10032</v>
      </c>
      <c r="E76" s="136">
        <v>3671.9842932531033</v>
      </c>
      <c r="F76" s="44">
        <v>0.36602714246940821</v>
      </c>
      <c r="G76" s="42" t="s">
        <v>1432</v>
      </c>
      <c r="H76" s="38"/>
    </row>
    <row r="77" spans="1:8">
      <c r="A77" s="39" t="s">
        <v>4</v>
      </c>
      <c r="B77" s="40" t="s">
        <v>1203</v>
      </c>
      <c r="C77" s="27" t="s">
        <v>1441</v>
      </c>
      <c r="D77" s="43">
        <v>10032</v>
      </c>
      <c r="E77" s="136">
        <v>9550.7041191369899</v>
      </c>
      <c r="F77" s="44">
        <v>0.95202393532067286</v>
      </c>
      <c r="G77" s="42" t="s">
        <v>1319</v>
      </c>
      <c r="H77" s="38"/>
    </row>
    <row r="78" spans="1:8">
      <c r="A78" s="39" t="s">
        <v>4</v>
      </c>
      <c r="B78" s="40" t="s">
        <v>1203</v>
      </c>
      <c r="C78" s="27" t="s">
        <v>1442</v>
      </c>
      <c r="D78" s="43">
        <v>10032</v>
      </c>
      <c r="E78" s="136">
        <v>8949.0896370048904</v>
      </c>
      <c r="F78" s="44">
        <v>0.89205438965359751</v>
      </c>
      <c r="G78" s="42" t="s">
        <v>1432</v>
      </c>
      <c r="H78" s="38"/>
    </row>
    <row r="79" spans="1:8">
      <c r="A79" s="39" t="s">
        <v>4</v>
      </c>
      <c r="B79" s="40" t="s">
        <v>1203</v>
      </c>
      <c r="C79" s="27" t="s">
        <v>1443</v>
      </c>
      <c r="D79" s="43">
        <v>10032</v>
      </c>
      <c r="E79" s="136">
        <v>7554.5980958456594</v>
      </c>
      <c r="F79" s="44">
        <v>0.75305004942640141</v>
      </c>
      <c r="G79" s="42" t="s">
        <v>1432</v>
      </c>
      <c r="H79" s="38"/>
    </row>
    <row r="80" spans="1:8">
      <c r="A80" s="39" t="s">
        <v>4</v>
      </c>
      <c r="B80" s="40" t="s">
        <v>1203</v>
      </c>
      <c r="C80" s="27" t="s">
        <v>1444</v>
      </c>
      <c r="D80" s="43">
        <v>10032</v>
      </c>
      <c r="E80" s="136">
        <v>9801.9283060010875</v>
      </c>
      <c r="F80" s="44">
        <v>0.97706621870026789</v>
      </c>
      <c r="G80" s="42" t="s">
        <v>1319</v>
      </c>
      <c r="H80" s="38"/>
    </row>
    <row r="81" spans="1:8">
      <c r="A81" s="39" t="s">
        <v>4</v>
      </c>
      <c r="B81" s="40" t="s">
        <v>1204</v>
      </c>
      <c r="C81" s="27" t="s">
        <v>1431</v>
      </c>
      <c r="D81" s="43">
        <v>10032</v>
      </c>
      <c r="E81" s="136">
        <v>12084.372266446426</v>
      </c>
      <c r="F81" s="44">
        <v>1.2045825624448192</v>
      </c>
      <c r="G81" s="42" t="s">
        <v>1318</v>
      </c>
      <c r="H81" s="38"/>
    </row>
    <row r="82" spans="1:8">
      <c r="A82" s="39" t="s">
        <v>4</v>
      </c>
      <c r="B82" s="40" t="s">
        <v>1204</v>
      </c>
      <c r="C82" s="27" t="s">
        <v>1433</v>
      </c>
      <c r="D82" s="43">
        <v>10032</v>
      </c>
      <c r="E82" s="136">
        <v>2789.904926980967</v>
      </c>
      <c r="F82" s="44">
        <v>0.27810057087130852</v>
      </c>
      <c r="G82" s="42" t="s">
        <v>1432</v>
      </c>
      <c r="H82" s="38"/>
    </row>
    <row r="83" spans="1:8">
      <c r="A83" s="39" t="s">
        <v>4</v>
      </c>
      <c r="B83" s="40" t="s">
        <v>1204</v>
      </c>
      <c r="C83" s="27" t="s">
        <v>1434</v>
      </c>
      <c r="D83" s="43">
        <v>10032</v>
      </c>
      <c r="E83" s="136">
        <v>15069.867836092923</v>
      </c>
      <c r="F83" s="44">
        <v>1.5021798082229787</v>
      </c>
      <c r="G83" s="42" t="s">
        <v>1318</v>
      </c>
    </row>
    <row r="84" spans="1:8">
      <c r="A84" s="39" t="s">
        <v>4</v>
      </c>
      <c r="B84" s="40" t="s">
        <v>1204</v>
      </c>
      <c r="C84" s="27" t="s">
        <v>1445</v>
      </c>
      <c r="D84" s="43">
        <v>10032</v>
      </c>
      <c r="E84" s="136">
        <v>12446.597539272114</v>
      </c>
      <c r="F84" s="44">
        <v>1.2406895473756094</v>
      </c>
      <c r="G84" s="42" t="s">
        <v>1318</v>
      </c>
    </row>
    <row r="85" spans="1:8">
      <c r="A85" s="39" t="s">
        <v>4</v>
      </c>
      <c r="B85" s="40" t="s">
        <v>1204</v>
      </c>
      <c r="C85" s="27" t="s">
        <v>1435</v>
      </c>
      <c r="D85" s="43">
        <v>10032</v>
      </c>
      <c r="E85" s="136">
        <v>13038.631070491139</v>
      </c>
      <c r="F85" s="44">
        <v>1.2997040540760705</v>
      </c>
      <c r="G85" s="42" t="s">
        <v>1318</v>
      </c>
    </row>
    <row r="86" spans="1:8">
      <c r="A86" s="39" t="s">
        <v>4</v>
      </c>
      <c r="B86" s="40" t="s">
        <v>1204</v>
      </c>
      <c r="C86" s="27" t="s">
        <v>1436</v>
      </c>
      <c r="D86" s="43">
        <v>10032</v>
      </c>
      <c r="E86" s="136">
        <v>14171.715604972909</v>
      </c>
      <c r="F86" s="44">
        <v>1.4126510770507286</v>
      </c>
      <c r="G86" s="42" t="s">
        <v>1318</v>
      </c>
    </row>
    <row r="87" spans="1:8">
      <c r="A87" s="39" t="s">
        <v>4</v>
      </c>
      <c r="B87" s="40" t="s">
        <v>1204</v>
      </c>
      <c r="C87" s="27" t="s">
        <v>1306</v>
      </c>
      <c r="D87" s="43">
        <v>10032</v>
      </c>
      <c r="E87" s="136">
        <v>12612.310529129207</v>
      </c>
      <c r="F87" s="44">
        <v>1.2572079873533899</v>
      </c>
      <c r="G87" s="42" t="s">
        <v>1318</v>
      </c>
    </row>
    <row r="88" spans="1:8">
      <c r="A88" s="39" t="s">
        <v>4</v>
      </c>
      <c r="B88" s="40" t="s">
        <v>1204</v>
      </c>
      <c r="C88" s="27" t="s">
        <v>1437</v>
      </c>
      <c r="D88" s="43">
        <v>10032</v>
      </c>
      <c r="E88" s="136">
        <v>13383.094133745493</v>
      </c>
      <c r="F88" s="44">
        <v>1.3340404838263051</v>
      </c>
      <c r="G88" s="42" t="s">
        <v>1318</v>
      </c>
    </row>
    <row r="89" spans="1:8">
      <c r="A89" s="39" t="s">
        <v>4</v>
      </c>
      <c r="B89" s="40" t="s">
        <v>1204</v>
      </c>
      <c r="C89" s="27" t="s">
        <v>1438</v>
      </c>
      <c r="D89" s="43">
        <v>10032</v>
      </c>
      <c r="E89" s="136">
        <v>14592.626667989065</v>
      </c>
      <c r="F89" s="44">
        <v>1.4546079214502656</v>
      </c>
      <c r="G89" s="42" t="s">
        <v>1318</v>
      </c>
    </row>
    <row r="90" spans="1:8">
      <c r="A90" s="39" t="s">
        <v>4</v>
      </c>
      <c r="B90" s="40" t="s">
        <v>1204</v>
      </c>
      <c r="C90" s="27" t="s">
        <v>1446</v>
      </c>
      <c r="D90" s="43">
        <v>10032</v>
      </c>
      <c r="E90" s="136">
        <v>8301.2096240413084</v>
      </c>
      <c r="F90" s="44">
        <v>0.82747304864845583</v>
      </c>
      <c r="G90" s="42" t="s">
        <v>1432</v>
      </c>
    </row>
    <row r="91" spans="1:8">
      <c r="A91" s="39" t="s">
        <v>4</v>
      </c>
      <c r="B91" s="40" t="s">
        <v>1204</v>
      </c>
      <c r="C91" s="27" t="s">
        <v>1439</v>
      </c>
      <c r="D91" s="43">
        <v>10032</v>
      </c>
      <c r="E91" s="136">
        <v>15157.492444007094</v>
      </c>
      <c r="F91" s="44">
        <v>1.5109143185812492</v>
      </c>
      <c r="G91" s="42" t="s">
        <v>1318</v>
      </c>
    </row>
    <row r="92" spans="1:8">
      <c r="A92" s="39" t="s">
        <v>4</v>
      </c>
      <c r="B92" s="40" t="s">
        <v>1204</v>
      </c>
      <c r="C92" s="27" t="s">
        <v>1440</v>
      </c>
      <c r="D92" s="43">
        <v>10032</v>
      </c>
      <c r="E92" s="136">
        <v>0</v>
      </c>
      <c r="F92" s="44">
        <v>0</v>
      </c>
      <c r="G92" s="42" t="s">
        <v>1432</v>
      </c>
    </row>
    <row r="93" spans="1:8">
      <c r="A93" s="39" t="s">
        <v>4</v>
      </c>
      <c r="B93" s="40" t="s">
        <v>1204</v>
      </c>
      <c r="C93" s="27" t="s">
        <v>1441</v>
      </c>
      <c r="D93" s="43">
        <v>10032</v>
      </c>
      <c r="E93" s="136">
        <v>8532.4461956406067</v>
      </c>
      <c r="F93" s="44">
        <v>0.8505229461364241</v>
      </c>
      <c r="G93" s="42" t="s">
        <v>1432</v>
      </c>
    </row>
    <row r="94" spans="1:8">
      <c r="A94" s="39" t="s">
        <v>4</v>
      </c>
      <c r="B94" s="40" t="s">
        <v>1204</v>
      </c>
      <c r="C94" s="27" t="s">
        <v>1442</v>
      </c>
      <c r="D94" s="43">
        <v>10032</v>
      </c>
      <c r="E94" s="136">
        <v>12692.6591651362</v>
      </c>
      <c r="F94" s="44">
        <v>1.2652172214051236</v>
      </c>
      <c r="G94" s="42" t="s">
        <v>1318</v>
      </c>
    </row>
    <row r="95" spans="1:8">
      <c r="A95" s="39" t="s">
        <v>4</v>
      </c>
      <c r="B95" s="40" t="s">
        <v>1204</v>
      </c>
      <c r="C95" s="27" t="s">
        <v>1443</v>
      </c>
      <c r="D95" s="43">
        <v>10032</v>
      </c>
      <c r="E95" s="136">
        <v>10491.221285054895</v>
      </c>
      <c r="F95" s="44">
        <v>1.0457756464368915</v>
      </c>
      <c r="G95" s="42" t="s">
        <v>1318</v>
      </c>
    </row>
    <row r="96" spans="1:8">
      <c r="A96" s="39" t="s">
        <v>4</v>
      </c>
      <c r="B96" s="40" t="s">
        <v>1204</v>
      </c>
      <c r="C96" s="27" t="s">
        <v>1444</v>
      </c>
      <c r="D96" s="43">
        <v>10032</v>
      </c>
      <c r="E96" s="136">
        <v>14304.195666938329</v>
      </c>
      <c r="F96" s="44">
        <v>1.4258568248542991</v>
      </c>
      <c r="G96" s="42" t="s">
        <v>1318</v>
      </c>
    </row>
    <row r="97" spans="1:7">
      <c r="A97" s="39" t="s">
        <v>4</v>
      </c>
      <c r="B97" s="40" t="s">
        <v>1204</v>
      </c>
      <c r="C97" s="27" t="s">
        <v>1447</v>
      </c>
      <c r="D97" s="43">
        <v>10032</v>
      </c>
      <c r="E97" s="136">
        <v>0</v>
      </c>
      <c r="F97" s="44">
        <v>0</v>
      </c>
      <c r="G97" s="42" t="s">
        <v>1432</v>
      </c>
    </row>
    <row r="98" spans="1:7">
      <c r="A98" s="39" t="s">
        <v>4</v>
      </c>
      <c r="B98" s="40" t="s">
        <v>1205</v>
      </c>
      <c r="C98" s="27" t="s">
        <v>1431</v>
      </c>
      <c r="D98" s="43">
        <v>10032</v>
      </c>
      <c r="E98" s="136">
        <v>9201.3625493921136</v>
      </c>
      <c r="F98" s="44">
        <v>0.91720121106380714</v>
      </c>
      <c r="G98" s="42" t="s">
        <v>1321</v>
      </c>
    </row>
    <row r="99" spans="1:7">
      <c r="A99" s="39" t="s">
        <v>4</v>
      </c>
      <c r="B99" s="40" t="s">
        <v>1205</v>
      </c>
      <c r="C99" s="27" t="s">
        <v>1433</v>
      </c>
      <c r="D99" s="43">
        <v>10032</v>
      </c>
      <c r="E99" s="136">
        <v>0</v>
      </c>
      <c r="F99" s="44"/>
      <c r="G99" s="42" t="s">
        <v>1448</v>
      </c>
    </row>
    <row r="100" spans="1:7">
      <c r="A100" s="39" t="s">
        <v>4</v>
      </c>
      <c r="B100" s="40" t="s">
        <v>1205</v>
      </c>
      <c r="C100" s="27" t="s">
        <v>1434</v>
      </c>
      <c r="D100" s="43">
        <v>10032</v>
      </c>
      <c r="E100" s="136">
        <v>13682.775772302706</v>
      </c>
      <c r="F100" s="44">
        <v>1.3639130554528216</v>
      </c>
      <c r="G100" s="42" t="s">
        <v>1318</v>
      </c>
    </row>
    <row r="101" spans="1:7">
      <c r="A101" s="39" t="s">
        <v>4</v>
      </c>
      <c r="B101" s="40" t="s">
        <v>1205</v>
      </c>
      <c r="C101" s="27" t="s">
        <v>1445</v>
      </c>
      <c r="D101" s="43">
        <v>10032</v>
      </c>
      <c r="E101" s="136">
        <v>16701.242478639237</v>
      </c>
      <c r="F101" s="44">
        <v>1.6647968977909924</v>
      </c>
      <c r="G101" s="42" t="s">
        <v>1318</v>
      </c>
    </row>
    <row r="102" spans="1:7">
      <c r="A102" s="39" t="s">
        <v>4</v>
      </c>
      <c r="B102" s="40" t="s">
        <v>1205</v>
      </c>
      <c r="C102" s="27" t="s">
        <v>1435</v>
      </c>
      <c r="D102" s="43">
        <v>10032</v>
      </c>
      <c r="E102" s="136">
        <v>12811.602751474438</v>
      </c>
      <c r="F102" s="44">
        <v>1.2770736395010405</v>
      </c>
      <c r="G102" s="42" t="s">
        <v>1318</v>
      </c>
    </row>
    <row r="103" spans="1:7">
      <c r="A103" s="39" t="s">
        <v>4</v>
      </c>
      <c r="B103" s="40" t="s">
        <v>1205</v>
      </c>
      <c r="C103" s="27" t="s">
        <v>1436</v>
      </c>
      <c r="D103" s="43">
        <v>10032</v>
      </c>
      <c r="E103" s="136">
        <v>16088.413973442617</v>
      </c>
      <c r="F103" s="44">
        <v>1.603709526858315</v>
      </c>
      <c r="G103" s="42" t="s">
        <v>1318</v>
      </c>
    </row>
    <row r="104" spans="1:7">
      <c r="A104" s="39" t="s">
        <v>4</v>
      </c>
      <c r="B104" s="40" t="s">
        <v>1205</v>
      </c>
      <c r="C104" s="27" t="s">
        <v>1306</v>
      </c>
      <c r="D104" s="43">
        <v>10032</v>
      </c>
      <c r="E104" s="136">
        <v>15577.014281516413</v>
      </c>
      <c r="F104" s="44">
        <v>1.5527326835642357</v>
      </c>
      <c r="G104" s="42" t="s">
        <v>1318</v>
      </c>
    </row>
    <row r="105" spans="1:7">
      <c r="A105" s="39" t="s">
        <v>4</v>
      </c>
      <c r="B105" s="40" t="s">
        <v>1205</v>
      </c>
      <c r="C105" s="27" t="s">
        <v>1437</v>
      </c>
      <c r="D105" s="43">
        <v>10032</v>
      </c>
      <c r="E105" s="136">
        <v>15671.694274433143</v>
      </c>
      <c r="F105" s="44">
        <v>1.5621704819012303</v>
      </c>
      <c r="G105" s="42" t="s">
        <v>1318</v>
      </c>
    </row>
    <row r="106" spans="1:7">
      <c r="A106" s="39" t="s">
        <v>4</v>
      </c>
      <c r="B106" s="40" t="s">
        <v>1205</v>
      </c>
      <c r="C106" s="27" t="s">
        <v>1438</v>
      </c>
      <c r="D106" s="43">
        <v>10032</v>
      </c>
      <c r="E106" s="136">
        <v>14013.596927991412</v>
      </c>
      <c r="F106" s="44">
        <v>1.3968896459321583</v>
      </c>
      <c r="G106" s="42" t="s">
        <v>1318</v>
      </c>
    </row>
    <row r="107" spans="1:7">
      <c r="A107" s="39" t="s">
        <v>4</v>
      </c>
      <c r="B107" s="40" t="s">
        <v>1205</v>
      </c>
      <c r="C107" s="27" t="s">
        <v>1446</v>
      </c>
      <c r="D107" s="43">
        <v>10032</v>
      </c>
      <c r="E107" s="136">
        <v>9681.0425809594126</v>
      </c>
      <c r="F107" s="44">
        <v>0.96501620623598605</v>
      </c>
      <c r="G107" s="42" t="s">
        <v>1319</v>
      </c>
    </row>
    <row r="108" spans="1:7">
      <c r="A108" s="39" t="s">
        <v>4</v>
      </c>
      <c r="B108" s="40" t="s">
        <v>1205</v>
      </c>
      <c r="C108" s="27" t="s">
        <v>1439</v>
      </c>
      <c r="D108" s="43">
        <v>10032</v>
      </c>
      <c r="E108" s="136">
        <v>14451.871094191003</v>
      </c>
      <c r="F108" s="44">
        <v>1.4405772621801238</v>
      </c>
      <c r="G108" s="42" t="s">
        <v>1318</v>
      </c>
    </row>
    <row r="109" spans="1:7">
      <c r="A109" s="39" t="s">
        <v>4</v>
      </c>
      <c r="B109" s="40" t="s">
        <v>1205</v>
      </c>
      <c r="C109" s="27" t="s">
        <v>1440</v>
      </c>
      <c r="D109" s="43">
        <v>10032</v>
      </c>
      <c r="E109" s="136">
        <v>0</v>
      </c>
      <c r="F109" s="44">
        <v>0</v>
      </c>
      <c r="G109" s="42" t="s">
        <v>1432</v>
      </c>
    </row>
    <row r="110" spans="1:7">
      <c r="A110" s="39" t="s">
        <v>4</v>
      </c>
      <c r="B110" s="40" t="s">
        <v>1205</v>
      </c>
      <c r="C110" s="27" t="s">
        <v>1441</v>
      </c>
      <c r="D110" s="43">
        <v>10032</v>
      </c>
      <c r="E110" s="136">
        <v>8872.4573463425222</v>
      </c>
      <c r="F110" s="44">
        <v>0.88441560469921476</v>
      </c>
      <c r="G110" s="42" t="s">
        <v>1432</v>
      </c>
    </row>
    <row r="111" spans="1:7">
      <c r="A111" s="39" t="s">
        <v>4</v>
      </c>
      <c r="B111" s="40" t="s">
        <v>1205</v>
      </c>
      <c r="C111" s="27" t="s">
        <v>1442</v>
      </c>
      <c r="D111" s="43">
        <v>10032</v>
      </c>
      <c r="E111" s="136">
        <v>10782.821790268901</v>
      </c>
      <c r="F111" s="44">
        <v>1.0748426824430724</v>
      </c>
      <c r="G111" s="42" t="s">
        <v>1318</v>
      </c>
    </row>
    <row r="112" spans="1:7">
      <c r="A112" s="39" t="s">
        <v>4</v>
      </c>
      <c r="B112" s="40" t="s">
        <v>1205</v>
      </c>
      <c r="C112" s="27" t="s">
        <v>1443</v>
      </c>
      <c r="D112" s="43">
        <v>10032</v>
      </c>
      <c r="E112" s="136">
        <v>11774.726437815267</v>
      </c>
      <c r="F112" s="44">
        <v>1.1737167501809476</v>
      </c>
      <c r="G112" s="42" t="s">
        <v>1318</v>
      </c>
    </row>
    <row r="113" spans="1:7">
      <c r="A113" s="39" t="s">
        <v>4</v>
      </c>
      <c r="B113" s="40" t="s">
        <v>1205</v>
      </c>
      <c r="C113" s="27" t="s">
        <v>1444</v>
      </c>
      <c r="D113" s="43">
        <v>10032</v>
      </c>
      <c r="E113" s="136">
        <v>17554.383846905519</v>
      </c>
      <c r="F113" s="44">
        <v>1.7498389002098802</v>
      </c>
      <c r="G113" s="42" t="s">
        <v>1318</v>
      </c>
    </row>
    <row r="114" spans="1:7">
      <c r="A114" s="39" t="s">
        <v>4</v>
      </c>
      <c r="B114" s="40" t="s">
        <v>1205</v>
      </c>
      <c r="C114" s="27" t="s">
        <v>1447</v>
      </c>
      <c r="D114" s="43">
        <v>10032</v>
      </c>
      <c r="E114" s="136">
        <v>7658.2223612977941</v>
      </c>
      <c r="F114" s="44">
        <v>0.76337942197944519</v>
      </c>
      <c r="G114" s="42" t="s">
        <v>1432</v>
      </c>
    </row>
    <row r="115" spans="1:7">
      <c r="A115" s="39" t="s">
        <v>4</v>
      </c>
      <c r="B115" s="40" t="s">
        <v>1206</v>
      </c>
      <c r="C115" s="27" t="s">
        <v>1431</v>
      </c>
      <c r="D115" s="43">
        <v>10032</v>
      </c>
      <c r="E115" s="136">
        <v>9022.2947738409857</v>
      </c>
      <c r="F115" s="44">
        <v>0.89935155241636622</v>
      </c>
      <c r="G115" s="42" t="s">
        <v>1432</v>
      </c>
    </row>
    <row r="116" spans="1:7">
      <c r="A116" s="39" t="s">
        <v>4</v>
      </c>
      <c r="B116" s="40" t="s">
        <v>1206</v>
      </c>
      <c r="C116" s="27" t="s">
        <v>1433</v>
      </c>
      <c r="D116" s="43">
        <v>10032</v>
      </c>
      <c r="E116" s="136">
        <v>0</v>
      </c>
      <c r="F116" s="44"/>
      <c r="G116" s="42" t="s">
        <v>1448</v>
      </c>
    </row>
    <row r="117" spans="1:7">
      <c r="A117" s="39" t="s">
        <v>4</v>
      </c>
      <c r="B117" s="40" t="s">
        <v>1206</v>
      </c>
      <c r="C117" s="27" t="s">
        <v>1434</v>
      </c>
      <c r="D117" s="43">
        <v>10032</v>
      </c>
      <c r="E117" s="136">
        <v>11528.90537888481</v>
      </c>
      <c r="F117" s="44">
        <v>1.1492130561089324</v>
      </c>
      <c r="G117" s="42" t="s">
        <v>1318</v>
      </c>
    </row>
    <row r="118" spans="1:7">
      <c r="A118" s="39" t="s">
        <v>4</v>
      </c>
      <c r="B118" s="40" t="s">
        <v>1206</v>
      </c>
      <c r="C118" s="27" t="s">
        <v>1445</v>
      </c>
      <c r="D118" s="43">
        <v>10032</v>
      </c>
      <c r="E118" s="136">
        <v>8534.6228072510494</v>
      </c>
      <c r="F118" s="44">
        <v>0.85073991300349372</v>
      </c>
      <c r="G118" s="42" t="s">
        <v>1432</v>
      </c>
    </row>
    <row r="119" spans="1:7">
      <c r="A119" s="39" t="s">
        <v>4</v>
      </c>
      <c r="B119" s="40" t="s">
        <v>1206</v>
      </c>
      <c r="C119" s="27" t="s">
        <v>1435</v>
      </c>
      <c r="D119" s="43">
        <v>10032</v>
      </c>
      <c r="E119" s="136">
        <v>10955.539827684779</v>
      </c>
      <c r="F119" s="44">
        <v>1.0920593927118001</v>
      </c>
      <c r="G119" s="42" t="s">
        <v>1318</v>
      </c>
    </row>
    <row r="120" spans="1:7">
      <c r="A120" s="39" t="s">
        <v>4</v>
      </c>
      <c r="B120" s="40" t="s">
        <v>1206</v>
      </c>
      <c r="C120" s="27" t="s">
        <v>1436</v>
      </c>
      <c r="D120" s="43">
        <v>10032</v>
      </c>
      <c r="E120" s="136">
        <v>9954.7584595859425</v>
      </c>
      <c r="F120" s="44">
        <v>0.99230048440848706</v>
      </c>
      <c r="G120" s="42" t="s">
        <v>1319</v>
      </c>
    </row>
    <row r="121" spans="1:7">
      <c r="A121" s="39" t="s">
        <v>4</v>
      </c>
      <c r="B121" s="40" t="s">
        <v>1206</v>
      </c>
      <c r="C121" s="27" t="s">
        <v>1306</v>
      </c>
      <c r="D121" s="43">
        <v>10032</v>
      </c>
      <c r="E121" s="136">
        <v>11421.166017344884</v>
      </c>
      <c r="F121" s="44">
        <v>1.1384734865774406</v>
      </c>
      <c r="G121" s="42" t="s">
        <v>1318</v>
      </c>
    </row>
    <row r="122" spans="1:7">
      <c r="A122" s="39" t="s">
        <v>4</v>
      </c>
      <c r="B122" s="40" t="s">
        <v>1206</v>
      </c>
      <c r="C122" s="27" t="s">
        <v>1437</v>
      </c>
      <c r="D122" s="43">
        <v>10032</v>
      </c>
      <c r="E122" s="136">
        <v>14958.301908152722</v>
      </c>
      <c r="F122" s="44">
        <v>1.4910588026468024</v>
      </c>
      <c r="G122" s="42" t="s">
        <v>1318</v>
      </c>
    </row>
    <row r="123" spans="1:7">
      <c r="A123" s="39" t="s">
        <v>4</v>
      </c>
      <c r="B123" s="40" t="s">
        <v>1206</v>
      </c>
      <c r="C123" s="27" t="s">
        <v>1438</v>
      </c>
      <c r="D123" s="43">
        <v>10032</v>
      </c>
      <c r="E123" s="136">
        <v>13626.615850950478</v>
      </c>
      <c r="F123" s="44">
        <v>1.35831497716811</v>
      </c>
      <c r="G123" s="42" t="s">
        <v>1318</v>
      </c>
    </row>
    <row r="124" spans="1:7">
      <c r="A124" s="39" t="s">
        <v>4</v>
      </c>
      <c r="B124" s="40" t="s">
        <v>1206</v>
      </c>
      <c r="C124" s="27" t="s">
        <v>1446</v>
      </c>
      <c r="D124" s="43">
        <v>10032</v>
      </c>
      <c r="E124" s="136">
        <v>12679.609566357936</v>
      </c>
      <c r="F124" s="44">
        <v>1.2639164240787417</v>
      </c>
      <c r="G124" s="42" t="s">
        <v>1318</v>
      </c>
    </row>
    <row r="125" spans="1:7">
      <c r="A125" s="39" t="s">
        <v>4</v>
      </c>
      <c r="B125" s="40" t="s">
        <v>1206</v>
      </c>
      <c r="C125" s="27" t="s">
        <v>1439</v>
      </c>
      <c r="D125" s="43">
        <v>10032</v>
      </c>
      <c r="E125" s="136">
        <v>9879.1729386837633</v>
      </c>
      <c r="F125" s="44">
        <v>0.98476604253227307</v>
      </c>
      <c r="G125" s="42" t="s">
        <v>1319</v>
      </c>
    </row>
    <row r="126" spans="1:7">
      <c r="A126" s="39" t="s">
        <v>4</v>
      </c>
      <c r="B126" s="40" t="s">
        <v>1206</v>
      </c>
      <c r="C126" s="27" t="s">
        <v>1440</v>
      </c>
      <c r="D126" s="43">
        <v>10032</v>
      </c>
      <c r="E126" s="136">
        <v>0</v>
      </c>
      <c r="F126" s="44">
        <v>0</v>
      </c>
      <c r="G126" s="42" t="s">
        <v>1432</v>
      </c>
    </row>
    <row r="127" spans="1:7">
      <c r="A127" s="39" t="s">
        <v>4</v>
      </c>
      <c r="B127" s="40" t="s">
        <v>1206</v>
      </c>
      <c r="C127" s="27" t="s">
        <v>1441</v>
      </c>
      <c r="D127" s="43">
        <v>10032</v>
      </c>
      <c r="E127" s="136">
        <v>8012.7919994841841</v>
      </c>
      <c r="F127" s="44">
        <v>0.79872328543502635</v>
      </c>
      <c r="G127" s="42" t="s">
        <v>1432</v>
      </c>
    </row>
    <row r="128" spans="1:7">
      <c r="A128" s="39" t="s">
        <v>4</v>
      </c>
      <c r="B128" s="40" t="s">
        <v>1206</v>
      </c>
      <c r="C128" s="27" t="s">
        <v>1442</v>
      </c>
      <c r="D128" s="43">
        <v>10032</v>
      </c>
      <c r="E128" s="136">
        <v>9984.1932057064769</v>
      </c>
      <c r="F128" s="44">
        <v>0.99523456994681792</v>
      </c>
      <c r="G128" s="42" t="s">
        <v>1319</v>
      </c>
    </row>
    <row r="129" spans="1:7">
      <c r="A129" s="39" t="s">
        <v>4</v>
      </c>
      <c r="B129" s="40" t="s">
        <v>1206</v>
      </c>
      <c r="C129" s="27" t="s">
        <v>1443</v>
      </c>
      <c r="D129" s="43">
        <v>10032</v>
      </c>
      <c r="E129" s="136">
        <v>11175.125456356949</v>
      </c>
      <c r="F129" s="44">
        <v>1.1139479123162828</v>
      </c>
      <c r="G129" s="42" t="s">
        <v>1318</v>
      </c>
    </row>
    <row r="130" spans="1:7">
      <c r="A130" s="39" t="s">
        <v>4</v>
      </c>
      <c r="B130" s="40" t="s">
        <v>1206</v>
      </c>
      <c r="C130" s="27" t="s">
        <v>1444</v>
      </c>
      <c r="D130" s="43">
        <v>10032</v>
      </c>
      <c r="E130" s="136">
        <v>13405.043679741775</v>
      </c>
      <c r="F130" s="44">
        <v>1.3362284369758548</v>
      </c>
      <c r="G130" s="42" t="s">
        <v>1318</v>
      </c>
    </row>
    <row r="131" spans="1:7">
      <c r="A131" s="39" t="s">
        <v>4</v>
      </c>
      <c r="B131" s="40" t="s">
        <v>1206</v>
      </c>
      <c r="C131" s="27" t="s">
        <v>1447</v>
      </c>
      <c r="D131" s="43">
        <v>10032</v>
      </c>
      <c r="E131" s="136">
        <v>9181.4604380483997</v>
      </c>
      <c r="F131" s="44">
        <v>0.91521734829031098</v>
      </c>
      <c r="G131" s="42" t="s">
        <v>1321</v>
      </c>
    </row>
    <row r="132" spans="1:7">
      <c r="A132" s="39" t="s">
        <v>4</v>
      </c>
      <c r="B132" s="40" t="s">
        <v>1449</v>
      </c>
      <c r="C132" s="27" t="s">
        <v>1431</v>
      </c>
      <c r="D132" s="43">
        <v>10032</v>
      </c>
      <c r="E132" s="31"/>
      <c r="F132" s="44">
        <v>0</v>
      </c>
      <c r="G132" s="42" t="s">
        <v>1432</v>
      </c>
    </row>
    <row r="133" spans="1:7">
      <c r="A133" s="39" t="s">
        <v>4</v>
      </c>
      <c r="B133" s="40" t="s">
        <v>1449</v>
      </c>
      <c r="C133" s="27" t="s">
        <v>1433</v>
      </c>
      <c r="D133" s="43">
        <v>10032</v>
      </c>
      <c r="E133" s="31"/>
      <c r="F133" s="44"/>
      <c r="G133" s="42" t="s">
        <v>1448</v>
      </c>
    </row>
    <row r="134" spans="1:7">
      <c r="A134" s="39" t="s">
        <v>4</v>
      </c>
      <c r="B134" s="40" t="s">
        <v>1449</v>
      </c>
      <c r="C134" s="27" t="s">
        <v>1434</v>
      </c>
      <c r="D134" s="43">
        <v>10032</v>
      </c>
      <c r="E134" s="31"/>
      <c r="F134" s="44">
        <v>0</v>
      </c>
      <c r="G134" s="42" t="s">
        <v>1432</v>
      </c>
    </row>
    <row r="135" spans="1:7">
      <c r="A135" s="39" t="s">
        <v>4</v>
      </c>
      <c r="B135" s="40" t="s">
        <v>1449</v>
      </c>
      <c r="C135" s="27" t="s">
        <v>1445</v>
      </c>
      <c r="D135" s="43">
        <v>10032</v>
      </c>
      <c r="E135" s="31"/>
      <c r="F135" s="44">
        <v>0</v>
      </c>
      <c r="G135" s="42" t="s">
        <v>1432</v>
      </c>
    </row>
    <row r="136" spans="1:7">
      <c r="A136" s="39" t="s">
        <v>4</v>
      </c>
      <c r="B136" s="40" t="s">
        <v>1449</v>
      </c>
      <c r="C136" s="27" t="s">
        <v>1435</v>
      </c>
      <c r="D136" s="43">
        <v>10032</v>
      </c>
      <c r="E136" s="31"/>
      <c r="F136" s="44">
        <v>0</v>
      </c>
      <c r="G136" s="42" t="s">
        <v>1432</v>
      </c>
    </row>
    <row r="137" spans="1:7">
      <c r="A137" s="39" t="s">
        <v>4</v>
      </c>
      <c r="B137" s="40" t="s">
        <v>1449</v>
      </c>
      <c r="C137" s="27" t="s">
        <v>1436</v>
      </c>
      <c r="D137" s="43">
        <v>10032</v>
      </c>
      <c r="E137" s="31"/>
      <c r="F137" s="44">
        <v>0</v>
      </c>
      <c r="G137" s="42" t="s">
        <v>1432</v>
      </c>
    </row>
    <row r="138" spans="1:7">
      <c r="A138" s="39" t="s">
        <v>4</v>
      </c>
      <c r="B138" s="40" t="s">
        <v>1449</v>
      </c>
      <c r="C138" s="27" t="s">
        <v>1306</v>
      </c>
      <c r="D138" s="43">
        <v>10032</v>
      </c>
      <c r="E138" s="31"/>
      <c r="F138" s="44">
        <v>0</v>
      </c>
      <c r="G138" s="42" t="s">
        <v>1432</v>
      </c>
    </row>
    <row r="139" spans="1:7">
      <c r="A139" s="39" t="s">
        <v>4</v>
      </c>
      <c r="B139" s="40" t="s">
        <v>1449</v>
      </c>
      <c r="C139" s="27" t="s">
        <v>1450</v>
      </c>
      <c r="D139" s="43">
        <v>10032</v>
      </c>
      <c r="E139" s="31"/>
      <c r="F139" s="44"/>
      <c r="G139" s="42" t="s">
        <v>1448</v>
      </c>
    </row>
    <row r="140" spans="1:7">
      <c r="A140" s="39" t="s">
        <v>4</v>
      </c>
      <c r="B140" s="40" t="s">
        <v>1449</v>
      </c>
      <c r="C140" s="27" t="s">
        <v>1437</v>
      </c>
      <c r="D140" s="43">
        <v>10032</v>
      </c>
      <c r="E140" s="31"/>
      <c r="F140" s="44">
        <v>0</v>
      </c>
      <c r="G140" s="42" t="s">
        <v>1432</v>
      </c>
    </row>
    <row r="141" spans="1:7">
      <c r="A141" s="39" t="s">
        <v>4</v>
      </c>
      <c r="B141" s="40" t="s">
        <v>1449</v>
      </c>
      <c r="C141" s="27" t="s">
        <v>1451</v>
      </c>
      <c r="D141" s="43">
        <v>10032</v>
      </c>
      <c r="E141" s="31"/>
      <c r="F141" s="44">
        <v>0</v>
      </c>
      <c r="G141" s="42" t="s">
        <v>1432</v>
      </c>
    </row>
    <row r="142" spans="1:7">
      <c r="A142" s="39" t="s">
        <v>4</v>
      </c>
      <c r="B142" s="40" t="s">
        <v>1449</v>
      </c>
      <c r="C142" s="27" t="s">
        <v>1446</v>
      </c>
      <c r="D142" s="43">
        <v>10032</v>
      </c>
      <c r="E142" s="31"/>
      <c r="F142" s="44">
        <v>0</v>
      </c>
      <c r="G142" s="42" t="s">
        <v>1432</v>
      </c>
    </row>
    <row r="143" spans="1:7">
      <c r="A143" s="39" t="s">
        <v>4</v>
      </c>
      <c r="B143" s="40" t="s">
        <v>1449</v>
      </c>
      <c r="C143" s="27" t="s">
        <v>1439</v>
      </c>
      <c r="D143" s="43">
        <v>10032</v>
      </c>
      <c r="E143" s="31"/>
      <c r="F143" s="44"/>
      <c r="G143" s="42" t="s">
        <v>1448</v>
      </c>
    </row>
    <row r="144" spans="1:7">
      <c r="A144" s="39" t="s">
        <v>4</v>
      </c>
      <c r="B144" s="40" t="s">
        <v>1449</v>
      </c>
      <c r="C144" s="27" t="s">
        <v>1440</v>
      </c>
      <c r="D144" s="43">
        <v>10032</v>
      </c>
      <c r="E144" s="31"/>
      <c r="F144" s="44"/>
      <c r="G144" s="42" t="s">
        <v>1448</v>
      </c>
    </row>
    <row r="145" spans="1:7">
      <c r="A145" s="39" t="s">
        <v>4</v>
      </c>
      <c r="B145" s="40" t="s">
        <v>1449</v>
      </c>
      <c r="C145" s="27" t="s">
        <v>1441</v>
      </c>
      <c r="D145" s="43">
        <v>10032</v>
      </c>
      <c r="E145" s="31"/>
      <c r="F145" s="44"/>
      <c r="G145" s="42" t="s">
        <v>1448</v>
      </c>
    </row>
    <row r="146" spans="1:7">
      <c r="A146" s="39" t="s">
        <v>4</v>
      </c>
      <c r="B146" s="40" t="s">
        <v>1449</v>
      </c>
      <c r="C146" s="27" t="s">
        <v>1442</v>
      </c>
      <c r="D146" s="43">
        <v>10032</v>
      </c>
      <c r="E146" s="31"/>
      <c r="F146" s="44"/>
      <c r="G146" s="42" t="s">
        <v>1448</v>
      </c>
    </row>
    <row r="147" spans="1:7">
      <c r="A147" s="39" t="s">
        <v>4</v>
      </c>
      <c r="B147" s="40" t="s">
        <v>1449</v>
      </c>
      <c r="C147" s="27" t="s">
        <v>1443</v>
      </c>
      <c r="D147" s="43">
        <v>10032</v>
      </c>
      <c r="E147" s="31"/>
      <c r="F147" s="44"/>
      <c r="G147" s="42" t="s">
        <v>1448</v>
      </c>
    </row>
    <row r="148" spans="1:7">
      <c r="A148" s="39" t="s">
        <v>4</v>
      </c>
      <c r="B148" s="40" t="s">
        <v>1449</v>
      </c>
      <c r="C148" s="27" t="s">
        <v>1444</v>
      </c>
      <c r="D148" s="43">
        <v>10032</v>
      </c>
      <c r="E148" s="31"/>
      <c r="F148" s="44"/>
      <c r="G148" s="42" t="s">
        <v>1448</v>
      </c>
    </row>
    <row r="149" spans="1:7">
      <c r="A149" s="39" t="s">
        <v>4</v>
      </c>
      <c r="B149" s="40" t="s">
        <v>1449</v>
      </c>
      <c r="C149" s="27" t="s">
        <v>1447</v>
      </c>
      <c r="D149" s="43">
        <v>10032</v>
      </c>
      <c r="E149" s="31"/>
      <c r="F149" s="44"/>
      <c r="G149" s="42" t="s">
        <v>1448</v>
      </c>
    </row>
    <row r="150" spans="1:7">
      <c r="A150" s="39" t="s">
        <v>4</v>
      </c>
      <c r="B150" s="40" t="s">
        <v>1452</v>
      </c>
      <c r="C150" s="27" t="s">
        <v>1431</v>
      </c>
      <c r="D150" s="43">
        <v>10032</v>
      </c>
      <c r="E150" s="31"/>
      <c r="F150" s="44">
        <v>0</v>
      </c>
      <c r="G150" s="42" t="s">
        <v>1432</v>
      </c>
    </row>
    <row r="151" spans="1:7">
      <c r="A151" s="39" t="s">
        <v>4</v>
      </c>
      <c r="B151" s="40" t="s">
        <v>1452</v>
      </c>
      <c r="C151" s="27" t="s">
        <v>1433</v>
      </c>
      <c r="D151" s="43">
        <v>10032</v>
      </c>
      <c r="E151" s="31"/>
      <c r="F151" s="44"/>
      <c r="G151" s="42" t="s">
        <v>1448</v>
      </c>
    </row>
    <row r="152" spans="1:7">
      <c r="A152" s="39" t="s">
        <v>4</v>
      </c>
      <c r="B152" s="40" t="s">
        <v>1452</v>
      </c>
      <c r="C152" s="27" t="s">
        <v>1434</v>
      </c>
      <c r="D152" s="43">
        <v>10032</v>
      </c>
      <c r="E152" s="31"/>
      <c r="F152" s="44">
        <v>0</v>
      </c>
      <c r="G152" s="42" t="s">
        <v>1432</v>
      </c>
    </row>
    <row r="153" spans="1:7">
      <c r="A153" s="39" t="s">
        <v>4</v>
      </c>
      <c r="B153" s="40" t="s">
        <v>1452</v>
      </c>
      <c r="C153" s="27" t="s">
        <v>1445</v>
      </c>
      <c r="D153" s="43">
        <v>10032</v>
      </c>
      <c r="E153" s="31"/>
      <c r="F153" s="44">
        <v>0</v>
      </c>
      <c r="G153" s="42" t="s">
        <v>1432</v>
      </c>
    </row>
    <row r="154" spans="1:7">
      <c r="A154" s="39" t="s">
        <v>4</v>
      </c>
      <c r="B154" s="40" t="s">
        <v>1452</v>
      </c>
      <c r="C154" s="27" t="s">
        <v>1435</v>
      </c>
      <c r="D154" s="43">
        <v>10032</v>
      </c>
      <c r="E154" s="31"/>
      <c r="F154" s="44">
        <v>0</v>
      </c>
      <c r="G154" s="42" t="s">
        <v>1432</v>
      </c>
    </row>
    <row r="155" spans="1:7">
      <c r="A155" s="39" t="s">
        <v>4</v>
      </c>
      <c r="B155" s="40" t="s">
        <v>1452</v>
      </c>
      <c r="C155" s="27" t="s">
        <v>1436</v>
      </c>
      <c r="D155" s="43">
        <v>10032</v>
      </c>
      <c r="E155" s="31"/>
      <c r="F155" s="44">
        <v>0</v>
      </c>
      <c r="G155" s="42" t="s">
        <v>1432</v>
      </c>
    </row>
    <row r="156" spans="1:7">
      <c r="A156" s="39" t="s">
        <v>4</v>
      </c>
      <c r="B156" s="40" t="s">
        <v>1452</v>
      </c>
      <c r="C156" s="27" t="s">
        <v>1306</v>
      </c>
      <c r="D156" s="43">
        <v>10032</v>
      </c>
      <c r="E156" s="31"/>
      <c r="F156" s="44">
        <v>0</v>
      </c>
      <c r="G156" s="42" t="s">
        <v>1432</v>
      </c>
    </row>
    <row r="157" spans="1:7">
      <c r="A157" s="39" t="s">
        <v>4</v>
      </c>
      <c r="B157" s="40" t="s">
        <v>1452</v>
      </c>
      <c r="C157" s="27" t="s">
        <v>1450</v>
      </c>
      <c r="D157" s="43">
        <v>10032</v>
      </c>
      <c r="E157" s="31"/>
      <c r="F157" s="44"/>
      <c r="G157" s="42" t="s">
        <v>1448</v>
      </c>
    </row>
    <row r="158" spans="1:7">
      <c r="A158" s="39" t="s">
        <v>4</v>
      </c>
      <c r="B158" s="40" t="s">
        <v>1452</v>
      </c>
      <c r="C158" s="27" t="s">
        <v>1437</v>
      </c>
      <c r="D158" s="43">
        <v>10032</v>
      </c>
      <c r="E158" s="31"/>
      <c r="F158" s="44">
        <v>0</v>
      </c>
      <c r="G158" s="42" t="s">
        <v>1432</v>
      </c>
    </row>
    <row r="159" spans="1:7">
      <c r="A159" s="39" t="s">
        <v>4</v>
      </c>
      <c r="B159" s="40" t="s">
        <v>1452</v>
      </c>
      <c r="C159" s="27" t="s">
        <v>1451</v>
      </c>
      <c r="D159" s="43">
        <v>10032</v>
      </c>
      <c r="E159" s="31"/>
      <c r="F159" s="44">
        <v>0</v>
      </c>
      <c r="G159" s="42" t="s">
        <v>1432</v>
      </c>
    </row>
    <row r="160" spans="1:7">
      <c r="A160" s="39" t="s">
        <v>4</v>
      </c>
      <c r="B160" s="40" t="s">
        <v>1452</v>
      </c>
      <c r="C160" s="27" t="s">
        <v>1446</v>
      </c>
      <c r="D160" s="43">
        <v>10032</v>
      </c>
      <c r="E160" s="31"/>
      <c r="F160" s="44">
        <v>0</v>
      </c>
      <c r="G160" s="42" t="s">
        <v>1432</v>
      </c>
    </row>
    <row r="161" spans="1:7">
      <c r="A161" s="39" t="s">
        <v>4</v>
      </c>
      <c r="B161" s="40" t="s">
        <v>1452</v>
      </c>
      <c r="C161" s="27" t="s">
        <v>1439</v>
      </c>
      <c r="D161" s="43">
        <v>10032</v>
      </c>
      <c r="E161" s="31"/>
      <c r="F161" s="44"/>
      <c r="G161" s="42" t="s">
        <v>1448</v>
      </c>
    </row>
    <row r="162" spans="1:7">
      <c r="A162" s="39" t="s">
        <v>4</v>
      </c>
      <c r="B162" s="40" t="s">
        <v>1452</v>
      </c>
      <c r="C162" s="27" t="s">
        <v>1440</v>
      </c>
      <c r="D162" s="43">
        <v>10032</v>
      </c>
      <c r="E162" s="31"/>
      <c r="F162" s="44"/>
      <c r="G162" s="42" t="s">
        <v>1448</v>
      </c>
    </row>
    <row r="163" spans="1:7">
      <c r="A163" s="39" t="s">
        <v>4</v>
      </c>
      <c r="B163" s="40" t="s">
        <v>1452</v>
      </c>
      <c r="C163" s="27" t="s">
        <v>1441</v>
      </c>
      <c r="D163" s="43">
        <v>10032</v>
      </c>
      <c r="E163" s="31"/>
      <c r="F163" s="44"/>
      <c r="G163" s="42" t="s">
        <v>1448</v>
      </c>
    </row>
    <row r="164" spans="1:7">
      <c r="A164" s="39" t="s">
        <v>4</v>
      </c>
      <c r="B164" s="40" t="s">
        <v>1452</v>
      </c>
      <c r="C164" s="27" t="s">
        <v>1442</v>
      </c>
      <c r="D164" s="43">
        <v>10032</v>
      </c>
      <c r="E164" s="31"/>
      <c r="F164" s="44"/>
      <c r="G164" s="42" t="s">
        <v>1448</v>
      </c>
    </row>
    <row r="165" spans="1:7">
      <c r="A165" s="39" t="s">
        <v>4</v>
      </c>
      <c r="B165" s="40" t="s">
        <v>1452</v>
      </c>
      <c r="C165" s="27" t="s">
        <v>1443</v>
      </c>
      <c r="D165" s="43">
        <v>10032</v>
      </c>
      <c r="E165" s="31"/>
      <c r="F165" s="44"/>
      <c r="G165" s="42" t="s">
        <v>1448</v>
      </c>
    </row>
    <row r="166" spans="1:7">
      <c r="A166" s="39" t="s">
        <v>4</v>
      </c>
      <c r="B166" s="40" t="s">
        <v>1452</v>
      </c>
      <c r="C166" s="27" t="s">
        <v>1444</v>
      </c>
      <c r="D166" s="43">
        <v>10032</v>
      </c>
      <c r="E166" s="31"/>
      <c r="F166" s="44"/>
      <c r="G166" s="42" t="s">
        <v>1448</v>
      </c>
    </row>
    <row r="167" spans="1:7">
      <c r="A167" s="39" t="s">
        <v>4</v>
      </c>
      <c r="B167" s="40" t="s">
        <v>1452</v>
      </c>
      <c r="C167" s="27" t="s">
        <v>1447</v>
      </c>
      <c r="D167" s="43">
        <v>10032</v>
      </c>
      <c r="E167" s="31"/>
      <c r="F167" s="44"/>
      <c r="G167" s="42" t="s">
        <v>1448</v>
      </c>
    </row>
    <row r="168" spans="1:7">
      <c r="A168" s="39" t="s">
        <v>4</v>
      </c>
      <c r="B168" s="40" t="s">
        <v>1453</v>
      </c>
      <c r="C168" s="27" t="s">
        <v>1431</v>
      </c>
      <c r="D168" s="43">
        <v>10032</v>
      </c>
      <c r="E168" s="31"/>
      <c r="F168" s="44">
        <v>0</v>
      </c>
      <c r="G168" s="42" t="s">
        <v>1432</v>
      </c>
    </row>
    <row r="169" spans="1:7">
      <c r="A169" s="39" t="s">
        <v>4</v>
      </c>
      <c r="B169" s="40" t="s">
        <v>1453</v>
      </c>
      <c r="C169" s="27" t="s">
        <v>1433</v>
      </c>
      <c r="D169" s="43">
        <v>10032</v>
      </c>
      <c r="E169" s="31"/>
      <c r="F169" s="44"/>
      <c r="G169" s="42" t="s">
        <v>1448</v>
      </c>
    </row>
    <row r="170" spans="1:7">
      <c r="A170" s="39" t="s">
        <v>4</v>
      </c>
      <c r="B170" s="40" t="s">
        <v>1453</v>
      </c>
      <c r="C170" s="27" t="s">
        <v>1434</v>
      </c>
      <c r="D170" s="43">
        <v>10032</v>
      </c>
      <c r="E170" s="31"/>
      <c r="F170" s="44">
        <v>0</v>
      </c>
      <c r="G170" s="42" t="s">
        <v>1432</v>
      </c>
    </row>
    <row r="171" spans="1:7">
      <c r="A171" s="39" t="s">
        <v>4</v>
      </c>
      <c r="B171" s="40" t="s">
        <v>1453</v>
      </c>
      <c r="C171" s="27" t="s">
        <v>1445</v>
      </c>
      <c r="D171" s="43">
        <v>10032</v>
      </c>
      <c r="E171" s="31"/>
      <c r="F171" s="44">
        <v>0</v>
      </c>
      <c r="G171" s="42" t="s">
        <v>1432</v>
      </c>
    </row>
    <row r="172" spans="1:7">
      <c r="A172" s="39" t="s">
        <v>4</v>
      </c>
      <c r="B172" s="40" t="s">
        <v>1453</v>
      </c>
      <c r="C172" s="27" t="s">
        <v>1435</v>
      </c>
      <c r="D172" s="43">
        <v>10032</v>
      </c>
      <c r="E172" s="31"/>
      <c r="F172" s="44">
        <v>0</v>
      </c>
      <c r="G172" s="42" t="s">
        <v>1432</v>
      </c>
    </row>
    <row r="173" spans="1:7">
      <c r="A173" s="39" t="s">
        <v>4</v>
      </c>
      <c r="B173" s="40" t="s">
        <v>1453</v>
      </c>
      <c r="C173" s="27" t="s">
        <v>1436</v>
      </c>
      <c r="D173" s="43">
        <v>10032</v>
      </c>
      <c r="E173" s="31"/>
      <c r="F173" s="44">
        <v>0</v>
      </c>
      <c r="G173" s="42" t="s">
        <v>1432</v>
      </c>
    </row>
    <row r="174" spans="1:7">
      <c r="A174" s="39" t="s">
        <v>4</v>
      </c>
      <c r="B174" s="40" t="s">
        <v>1453</v>
      </c>
      <c r="C174" s="27" t="s">
        <v>1306</v>
      </c>
      <c r="D174" s="43">
        <v>10032</v>
      </c>
      <c r="E174" s="31"/>
      <c r="F174" s="44">
        <v>0</v>
      </c>
      <c r="G174" s="42" t="s">
        <v>1432</v>
      </c>
    </row>
    <row r="175" spans="1:7">
      <c r="A175" s="39" t="s">
        <v>4</v>
      </c>
      <c r="B175" s="40" t="s">
        <v>1453</v>
      </c>
      <c r="C175" s="27" t="s">
        <v>1450</v>
      </c>
      <c r="D175" s="43">
        <v>10032</v>
      </c>
      <c r="E175" s="31"/>
      <c r="F175" s="44"/>
      <c r="G175" s="42" t="s">
        <v>1448</v>
      </c>
    </row>
    <row r="176" spans="1:7">
      <c r="A176" s="39" t="s">
        <v>4</v>
      </c>
      <c r="B176" s="40" t="s">
        <v>1453</v>
      </c>
      <c r="C176" s="27" t="s">
        <v>1437</v>
      </c>
      <c r="D176" s="43">
        <v>10032</v>
      </c>
      <c r="E176" s="31"/>
      <c r="F176" s="44">
        <v>0</v>
      </c>
      <c r="G176" s="42" t="s">
        <v>1432</v>
      </c>
    </row>
    <row r="177" spans="1:7">
      <c r="A177" s="39" t="s">
        <v>4</v>
      </c>
      <c r="B177" s="40" t="s">
        <v>1453</v>
      </c>
      <c r="C177" s="27" t="s">
        <v>1451</v>
      </c>
      <c r="D177" s="43">
        <v>10032</v>
      </c>
      <c r="E177" s="31"/>
      <c r="F177" s="44">
        <v>0</v>
      </c>
      <c r="G177" s="42" t="s">
        <v>1432</v>
      </c>
    </row>
    <row r="178" spans="1:7">
      <c r="A178" s="39" t="s">
        <v>4</v>
      </c>
      <c r="B178" s="40" t="s">
        <v>1453</v>
      </c>
      <c r="C178" s="27" t="s">
        <v>1446</v>
      </c>
      <c r="D178" s="43">
        <v>10032</v>
      </c>
      <c r="E178" s="31"/>
      <c r="F178" s="44">
        <v>0</v>
      </c>
      <c r="G178" s="42" t="s">
        <v>1432</v>
      </c>
    </row>
    <row r="179" spans="1:7">
      <c r="A179" s="39" t="s">
        <v>4</v>
      </c>
      <c r="B179" s="40" t="s">
        <v>1453</v>
      </c>
      <c r="C179" s="27" t="s">
        <v>1439</v>
      </c>
      <c r="D179" s="43">
        <v>10032</v>
      </c>
      <c r="E179" s="31"/>
      <c r="F179" s="44"/>
      <c r="G179" s="42" t="s">
        <v>1448</v>
      </c>
    </row>
    <row r="180" spans="1:7">
      <c r="A180" s="39" t="s">
        <v>4</v>
      </c>
      <c r="B180" s="40" t="s">
        <v>1453</v>
      </c>
      <c r="C180" s="27" t="s">
        <v>1440</v>
      </c>
      <c r="D180" s="43">
        <v>10032</v>
      </c>
      <c r="E180" s="31"/>
      <c r="F180" s="44"/>
      <c r="G180" s="42" t="s">
        <v>1448</v>
      </c>
    </row>
    <row r="181" spans="1:7">
      <c r="A181" s="39" t="s">
        <v>4</v>
      </c>
      <c r="B181" s="40" t="s">
        <v>1453</v>
      </c>
      <c r="C181" s="27" t="s">
        <v>1441</v>
      </c>
      <c r="D181" s="43">
        <v>10032</v>
      </c>
      <c r="E181" s="31"/>
      <c r="F181" s="44"/>
      <c r="G181" s="42" t="s">
        <v>1448</v>
      </c>
    </row>
    <row r="182" spans="1:7">
      <c r="A182" s="39" t="s">
        <v>4</v>
      </c>
      <c r="B182" s="40" t="s">
        <v>1453</v>
      </c>
      <c r="C182" s="27" t="s">
        <v>1442</v>
      </c>
      <c r="D182" s="43">
        <v>10032</v>
      </c>
      <c r="E182" s="31"/>
      <c r="F182" s="44"/>
      <c r="G182" s="42" t="s">
        <v>1448</v>
      </c>
    </row>
    <row r="183" spans="1:7">
      <c r="A183" s="39" t="s">
        <v>4</v>
      </c>
      <c r="B183" s="40" t="s">
        <v>1453</v>
      </c>
      <c r="C183" s="27" t="s">
        <v>1443</v>
      </c>
      <c r="D183" s="43">
        <v>10032</v>
      </c>
      <c r="E183" s="31"/>
      <c r="F183" s="44"/>
      <c r="G183" s="42" t="s">
        <v>1448</v>
      </c>
    </row>
    <row r="184" spans="1:7">
      <c r="A184" s="39" t="s">
        <v>4</v>
      </c>
      <c r="B184" s="40" t="s">
        <v>1453</v>
      </c>
      <c r="C184" s="27" t="s">
        <v>1444</v>
      </c>
      <c r="D184" s="43">
        <v>10032</v>
      </c>
      <c r="E184" s="31"/>
      <c r="F184" s="44"/>
      <c r="G184" s="42" t="s">
        <v>1448</v>
      </c>
    </row>
    <row r="185" spans="1:7">
      <c r="A185" s="39" t="s">
        <v>4</v>
      </c>
      <c r="B185" s="40" t="s">
        <v>1453</v>
      </c>
      <c r="C185" s="27" t="s">
        <v>1447</v>
      </c>
      <c r="D185" s="43">
        <v>10032</v>
      </c>
      <c r="E185" s="31"/>
      <c r="F185" s="44"/>
      <c r="G185" s="42" t="s">
        <v>1448</v>
      </c>
    </row>
    <row r="186" spans="1:7">
      <c r="A186" s="39" t="s">
        <v>4</v>
      </c>
      <c r="B186" s="40" t="s">
        <v>1454</v>
      </c>
      <c r="C186" s="27" t="s">
        <v>1431</v>
      </c>
      <c r="D186" s="43">
        <v>10032</v>
      </c>
      <c r="E186" s="31"/>
      <c r="F186" s="44">
        <v>0</v>
      </c>
      <c r="G186" s="42" t="s">
        <v>1432</v>
      </c>
    </row>
    <row r="187" spans="1:7">
      <c r="A187" s="39" t="s">
        <v>4</v>
      </c>
      <c r="B187" s="40" t="s">
        <v>1454</v>
      </c>
      <c r="C187" s="27" t="s">
        <v>1433</v>
      </c>
      <c r="D187" s="43">
        <v>10032</v>
      </c>
      <c r="E187" s="31"/>
      <c r="F187" s="44"/>
      <c r="G187" s="42" t="s">
        <v>1448</v>
      </c>
    </row>
    <row r="188" spans="1:7">
      <c r="A188" s="39" t="s">
        <v>4</v>
      </c>
      <c r="B188" s="40" t="s">
        <v>1454</v>
      </c>
      <c r="C188" s="27" t="s">
        <v>1434</v>
      </c>
      <c r="D188" s="43">
        <v>10032</v>
      </c>
      <c r="E188" s="31"/>
      <c r="F188" s="44">
        <v>0</v>
      </c>
      <c r="G188" s="42" t="s">
        <v>1432</v>
      </c>
    </row>
    <row r="189" spans="1:7">
      <c r="A189" s="39" t="s">
        <v>4</v>
      </c>
      <c r="B189" s="40" t="s">
        <v>1454</v>
      </c>
      <c r="C189" s="27" t="s">
        <v>1445</v>
      </c>
      <c r="D189" s="43">
        <v>10032</v>
      </c>
      <c r="E189" s="31"/>
      <c r="F189" s="44">
        <v>0</v>
      </c>
      <c r="G189" s="42" t="s">
        <v>1432</v>
      </c>
    </row>
    <row r="190" spans="1:7">
      <c r="A190" s="39" t="s">
        <v>4</v>
      </c>
      <c r="B190" s="40" t="s">
        <v>1454</v>
      </c>
      <c r="C190" s="27" t="s">
        <v>1435</v>
      </c>
      <c r="D190" s="43">
        <v>10032</v>
      </c>
      <c r="E190" s="31"/>
      <c r="F190" s="44">
        <v>0</v>
      </c>
      <c r="G190" s="42" t="s">
        <v>1432</v>
      </c>
    </row>
    <row r="191" spans="1:7">
      <c r="A191" s="39" t="s">
        <v>4</v>
      </c>
      <c r="B191" s="40" t="s">
        <v>1454</v>
      </c>
      <c r="C191" s="27" t="s">
        <v>1436</v>
      </c>
      <c r="D191" s="43">
        <v>10032</v>
      </c>
      <c r="E191" s="31"/>
      <c r="F191" s="44">
        <v>0</v>
      </c>
      <c r="G191" s="42" t="s">
        <v>1432</v>
      </c>
    </row>
    <row r="192" spans="1:7">
      <c r="A192" s="39" t="s">
        <v>4</v>
      </c>
      <c r="B192" s="40" t="s">
        <v>1454</v>
      </c>
      <c r="C192" s="27" t="s">
        <v>1306</v>
      </c>
      <c r="D192" s="43">
        <v>10032</v>
      </c>
      <c r="E192" s="31"/>
      <c r="F192" s="44">
        <v>0</v>
      </c>
      <c r="G192" s="42" t="s">
        <v>1432</v>
      </c>
    </row>
    <row r="193" spans="1:7">
      <c r="A193" s="39" t="s">
        <v>4</v>
      </c>
      <c r="B193" s="40" t="s">
        <v>1454</v>
      </c>
      <c r="C193" s="27" t="s">
        <v>1450</v>
      </c>
      <c r="D193" s="43">
        <v>10032</v>
      </c>
      <c r="E193" s="31"/>
      <c r="F193" s="44"/>
      <c r="G193" s="42" t="s">
        <v>1448</v>
      </c>
    </row>
    <row r="194" spans="1:7">
      <c r="A194" s="39" t="s">
        <v>4</v>
      </c>
      <c r="B194" s="40" t="s">
        <v>1454</v>
      </c>
      <c r="C194" s="27" t="s">
        <v>1437</v>
      </c>
      <c r="D194" s="43">
        <v>10032</v>
      </c>
      <c r="E194" s="31"/>
      <c r="F194" s="44">
        <v>0</v>
      </c>
      <c r="G194" s="42" t="s">
        <v>1432</v>
      </c>
    </row>
    <row r="195" spans="1:7">
      <c r="A195" s="39" t="s">
        <v>4</v>
      </c>
      <c r="B195" s="40" t="s">
        <v>1454</v>
      </c>
      <c r="C195" s="27" t="s">
        <v>1451</v>
      </c>
      <c r="D195" s="43">
        <v>10032</v>
      </c>
      <c r="E195" s="31"/>
      <c r="F195" s="44">
        <v>0</v>
      </c>
      <c r="G195" s="42" t="s">
        <v>1432</v>
      </c>
    </row>
    <row r="196" spans="1:7">
      <c r="A196" s="39" t="s">
        <v>4</v>
      </c>
      <c r="B196" s="40" t="s">
        <v>1454</v>
      </c>
      <c r="C196" s="27" t="s">
        <v>1446</v>
      </c>
      <c r="D196" s="43">
        <v>10032</v>
      </c>
      <c r="E196" s="31"/>
      <c r="F196" s="44">
        <v>0</v>
      </c>
      <c r="G196" s="42" t="s">
        <v>1432</v>
      </c>
    </row>
    <row r="197" spans="1:7">
      <c r="A197" s="39" t="s">
        <v>4</v>
      </c>
      <c r="B197" s="40" t="s">
        <v>1454</v>
      </c>
      <c r="C197" s="27" t="s">
        <v>1439</v>
      </c>
      <c r="D197" s="43">
        <v>10032</v>
      </c>
      <c r="E197" s="31"/>
      <c r="F197" s="44"/>
      <c r="G197" s="42" t="s">
        <v>1448</v>
      </c>
    </row>
    <row r="198" spans="1:7">
      <c r="A198" s="39" t="s">
        <v>4</v>
      </c>
      <c r="B198" s="40" t="s">
        <v>1454</v>
      </c>
      <c r="C198" s="27" t="s">
        <v>1440</v>
      </c>
      <c r="D198" s="43">
        <v>10032</v>
      </c>
      <c r="E198" s="31"/>
      <c r="F198" s="44"/>
      <c r="G198" s="42" t="s">
        <v>1448</v>
      </c>
    </row>
    <row r="199" spans="1:7">
      <c r="A199" s="39" t="s">
        <v>4</v>
      </c>
      <c r="B199" s="40" t="s">
        <v>1454</v>
      </c>
      <c r="C199" s="27" t="s">
        <v>1441</v>
      </c>
      <c r="D199" s="43">
        <v>10032</v>
      </c>
      <c r="E199" s="31"/>
      <c r="F199" s="44"/>
      <c r="G199" s="42" t="s">
        <v>1448</v>
      </c>
    </row>
    <row r="200" spans="1:7">
      <c r="A200" s="39" t="s">
        <v>4</v>
      </c>
      <c r="B200" s="40" t="s">
        <v>1454</v>
      </c>
      <c r="C200" s="27" t="s">
        <v>1442</v>
      </c>
      <c r="D200" s="43">
        <v>10032</v>
      </c>
      <c r="E200" s="31"/>
      <c r="F200" s="44"/>
      <c r="G200" s="42" t="s">
        <v>1448</v>
      </c>
    </row>
    <row r="201" spans="1:7">
      <c r="A201" s="39" t="s">
        <v>4</v>
      </c>
      <c r="B201" s="40" t="s">
        <v>1454</v>
      </c>
      <c r="C201" s="27" t="s">
        <v>1443</v>
      </c>
      <c r="D201" s="43">
        <v>10032</v>
      </c>
      <c r="E201" s="31"/>
      <c r="F201" s="44"/>
      <c r="G201" s="42" t="s">
        <v>1448</v>
      </c>
    </row>
    <row r="202" spans="1:7">
      <c r="A202" s="39" t="s">
        <v>4</v>
      </c>
      <c r="B202" s="40" t="s">
        <v>1454</v>
      </c>
      <c r="C202" s="27" t="s">
        <v>1444</v>
      </c>
      <c r="D202" s="43">
        <v>10032</v>
      </c>
      <c r="E202" s="31"/>
      <c r="F202" s="44"/>
      <c r="G202" s="42" t="s">
        <v>1448</v>
      </c>
    </row>
    <row r="203" spans="1:7">
      <c r="A203" s="39" t="s">
        <v>4</v>
      </c>
      <c r="B203" s="40" t="s">
        <v>1454</v>
      </c>
      <c r="C203" s="27" t="s">
        <v>1447</v>
      </c>
      <c r="D203" s="43">
        <v>10032</v>
      </c>
      <c r="E203" s="31"/>
      <c r="F203" s="44"/>
      <c r="G203" s="42" t="s">
        <v>1448</v>
      </c>
    </row>
    <row r="204" spans="1:7">
      <c r="A204" s="39" t="s">
        <v>4</v>
      </c>
      <c r="B204" s="40" t="s">
        <v>1455</v>
      </c>
      <c r="C204" s="27" t="s">
        <v>1431</v>
      </c>
      <c r="D204" s="43">
        <v>10032</v>
      </c>
      <c r="E204" s="31"/>
      <c r="F204" s="44">
        <v>0</v>
      </c>
      <c r="G204" s="42" t="s">
        <v>1432</v>
      </c>
    </row>
    <row r="205" spans="1:7">
      <c r="A205" s="39" t="s">
        <v>4</v>
      </c>
      <c r="B205" s="40" t="s">
        <v>1455</v>
      </c>
      <c r="C205" s="27" t="s">
        <v>1433</v>
      </c>
      <c r="D205" s="43">
        <v>10032</v>
      </c>
      <c r="E205" s="31"/>
      <c r="F205" s="44"/>
      <c r="G205" s="42" t="s">
        <v>1448</v>
      </c>
    </row>
    <row r="206" spans="1:7">
      <c r="A206" s="39" t="s">
        <v>4</v>
      </c>
      <c r="B206" s="40" t="s">
        <v>1455</v>
      </c>
      <c r="C206" s="27" t="s">
        <v>1434</v>
      </c>
      <c r="D206" s="43">
        <v>10032</v>
      </c>
      <c r="E206" s="31"/>
      <c r="F206" s="44">
        <v>0</v>
      </c>
      <c r="G206" s="42" t="s">
        <v>1432</v>
      </c>
    </row>
    <row r="207" spans="1:7">
      <c r="A207" s="39" t="s">
        <v>4</v>
      </c>
      <c r="B207" s="40" t="s">
        <v>1455</v>
      </c>
      <c r="C207" s="27" t="s">
        <v>1445</v>
      </c>
      <c r="D207" s="43">
        <v>10032</v>
      </c>
      <c r="E207" s="31"/>
      <c r="F207" s="44">
        <v>0</v>
      </c>
      <c r="G207" s="42" t="s">
        <v>1432</v>
      </c>
    </row>
    <row r="208" spans="1:7">
      <c r="A208" s="39" t="s">
        <v>4</v>
      </c>
      <c r="B208" s="40" t="s">
        <v>1455</v>
      </c>
      <c r="C208" s="27" t="s">
        <v>1435</v>
      </c>
      <c r="D208" s="43">
        <v>10032</v>
      </c>
      <c r="E208" s="31"/>
      <c r="F208" s="44">
        <v>0</v>
      </c>
      <c r="G208" s="42" t="s">
        <v>1432</v>
      </c>
    </row>
    <row r="209" spans="1:7">
      <c r="A209" s="39" t="s">
        <v>4</v>
      </c>
      <c r="B209" s="40" t="s">
        <v>1455</v>
      </c>
      <c r="C209" s="27" t="s">
        <v>1436</v>
      </c>
      <c r="D209" s="43">
        <v>10032</v>
      </c>
      <c r="E209" s="31"/>
      <c r="F209" s="44">
        <v>0</v>
      </c>
      <c r="G209" s="42" t="s">
        <v>1432</v>
      </c>
    </row>
    <row r="210" spans="1:7">
      <c r="A210" s="39" t="s">
        <v>4</v>
      </c>
      <c r="B210" s="40" t="s">
        <v>1455</v>
      </c>
      <c r="C210" s="27" t="s">
        <v>1306</v>
      </c>
      <c r="D210" s="43">
        <v>10032</v>
      </c>
      <c r="E210" s="31"/>
      <c r="F210" s="44">
        <v>0</v>
      </c>
      <c r="G210" s="42" t="s">
        <v>1432</v>
      </c>
    </row>
    <row r="211" spans="1:7">
      <c r="A211" s="39" t="s">
        <v>4</v>
      </c>
      <c r="B211" s="40" t="s">
        <v>1455</v>
      </c>
      <c r="C211" s="27" t="s">
        <v>1450</v>
      </c>
      <c r="D211" s="43">
        <v>10032</v>
      </c>
      <c r="E211" s="31"/>
      <c r="F211" s="44"/>
      <c r="G211" s="42" t="s">
        <v>1448</v>
      </c>
    </row>
    <row r="212" spans="1:7">
      <c r="A212" s="39" t="s">
        <v>4</v>
      </c>
      <c r="B212" s="40" t="s">
        <v>1455</v>
      </c>
      <c r="C212" s="27" t="s">
        <v>1437</v>
      </c>
      <c r="D212" s="43">
        <v>10032</v>
      </c>
      <c r="E212" s="31"/>
      <c r="F212" s="44">
        <v>0</v>
      </c>
      <c r="G212" s="42" t="s">
        <v>1432</v>
      </c>
    </row>
    <row r="213" spans="1:7">
      <c r="A213" s="39" t="s">
        <v>4</v>
      </c>
      <c r="B213" s="40" t="s">
        <v>1455</v>
      </c>
      <c r="C213" s="27" t="s">
        <v>1451</v>
      </c>
      <c r="D213" s="43">
        <v>10032</v>
      </c>
      <c r="E213" s="31"/>
      <c r="F213" s="44">
        <v>0</v>
      </c>
      <c r="G213" s="42" t="s">
        <v>1432</v>
      </c>
    </row>
    <row r="214" spans="1:7">
      <c r="A214" s="39" t="s">
        <v>4</v>
      </c>
      <c r="B214" s="40" t="s">
        <v>1455</v>
      </c>
      <c r="C214" s="27" t="s">
        <v>1446</v>
      </c>
      <c r="D214" s="43">
        <v>10032</v>
      </c>
      <c r="E214" s="31"/>
      <c r="F214" s="44">
        <v>0</v>
      </c>
      <c r="G214" s="42" t="s">
        <v>1432</v>
      </c>
    </row>
    <row r="215" spans="1:7">
      <c r="A215" s="39" t="s">
        <v>4</v>
      </c>
      <c r="B215" s="40" t="s">
        <v>1455</v>
      </c>
      <c r="C215" s="27" t="s">
        <v>1439</v>
      </c>
      <c r="D215" s="43">
        <v>10032</v>
      </c>
      <c r="E215" s="31"/>
      <c r="F215" s="44"/>
      <c r="G215" s="42" t="s">
        <v>1448</v>
      </c>
    </row>
    <row r="216" spans="1:7">
      <c r="A216" s="39" t="s">
        <v>4</v>
      </c>
      <c r="B216" s="40" t="s">
        <v>1455</v>
      </c>
      <c r="C216" s="27" t="s">
        <v>1440</v>
      </c>
      <c r="D216" s="43">
        <v>10032</v>
      </c>
      <c r="E216" s="31"/>
      <c r="F216" s="44"/>
      <c r="G216" s="42" t="s">
        <v>1448</v>
      </c>
    </row>
    <row r="217" spans="1:7">
      <c r="A217" s="39" t="s">
        <v>4</v>
      </c>
      <c r="B217" s="40" t="s">
        <v>1455</v>
      </c>
      <c r="C217" s="27" t="s">
        <v>1441</v>
      </c>
      <c r="D217" s="43">
        <v>10032</v>
      </c>
      <c r="E217" s="31"/>
      <c r="F217" s="44"/>
      <c r="G217" s="42" t="s">
        <v>1448</v>
      </c>
    </row>
    <row r="218" spans="1:7">
      <c r="A218" s="39" t="s">
        <v>4</v>
      </c>
      <c r="B218" s="40" t="s">
        <v>1455</v>
      </c>
      <c r="C218" s="27" t="s">
        <v>1442</v>
      </c>
      <c r="D218" s="43">
        <v>10032</v>
      </c>
      <c r="E218" s="31"/>
      <c r="F218" s="44"/>
      <c r="G218" s="42" t="s">
        <v>1448</v>
      </c>
    </row>
    <row r="219" spans="1:7">
      <c r="A219" s="39" t="s">
        <v>4</v>
      </c>
      <c r="B219" s="40" t="s">
        <v>1455</v>
      </c>
      <c r="C219" s="27" t="s">
        <v>1443</v>
      </c>
      <c r="D219" s="43">
        <v>10032</v>
      </c>
      <c r="E219" s="31"/>
      <c r="F219" s="44"/>
      <c r="G219" s="42" t="s">
        <v>1448</v>
      </c>
    </row>
    <row r="220" spans="1:7">
      <c r="A220" s="39" t="s">
        <v>4</v>
      </c>
      <c r="B220" s="40" t="s">
        <v>1455</v>
      </c>
      <c r="C220" s="27" t="s">
        <v>1444</v>
      </c>
      <c r="D220" s="43">
        <v>10032</v>
      </c>
      <c r="E220" s="31"/>
      <c r="F220" s="44"/>
      <c r="G220" s="42" t="s">
        <v>1448</v>
      </c>
    </row>
    <row r="221" spans="1:7">
      <c r="A221" s="39" t="s">
        <v>4</v>
      </c>
      <c r="B221" s="40" t="s">
        <v>1455</v>
      </c>
      <c r="C221" s="27" t="s">
        <v>1447</v>
      </c>
      <c r="D221" s="43">
        <v>10032</v>
      </c>
      <c r="E221" s="31"/>
      <c r="F221" s="44"/>
      <c r="G221" s="42" t="s">
        <v>1448</v>
      </c>
    </row>
    <row r="222" spans="1:7">
      <c r="A222" s="39" t="s">
        <v>4</v>
      </c>
      <c r="B222" s="40" t="s">
        <v>1456</v>
      </c>
      <c r="C222" s="27" t="s">
        <v>1431</v>
      </c>
      <c r="D222" s="43">
        <v>10032</v>
      </c>
      <c r="E222" s="31"/>
      <c r="F222" s="44">
        <v>0</v>
      </c>
      <c r="G222" s="42" t="s">
        <v>1432</v>
      </c>
    </row>
    <row r="223" spans="1:7">
      <c r="A223" s="39" t="s">
        <v>4</v>
      </c>
      <c r="B223" s="40" t="s">
        <v>1456</v>
      </c>
      <c r="C223" s="27" t="s">
        <v>1433</v>
      </c>
      <c r="D223" s="43">
        <v>10032</v>
      </c>
      <c r="E223" s="31"/>
      <c r="F223" s="44"/>
      <c r="G223" s="42" t="s">
        <v>1448</v>
      </c>
    </row>
    <row r="224" spans="1:7">
      <c r="A224" s="39" t="s">
        <v>4</v>
      </c>
      <c r="B224" s="40" t="s">
        <v>1456</v>
      </c>
      <c r="C224" s="27" t="s">
        <v>1434</v>
      </c>
      <c r="D224" s="43">
        <v>10032</v>
      </c>
      <c r="E224" s="31"/>
      <c r="F224" s="44">
        <v>0</v>
      </c>
      <c r="G224" s="42" t="s">
        <v>1432</v>
      </c>
    </row>
    <row r="225" spans="1:7">
      <c r="A225" s="39" t="s">
        <v>4</v>
      </c>
      <c r="B225" s="40" t="s">
        <v>1456</v>
      </c>
      <c r="C225" s="27" t="s">
        <v>1445</v>
      </c>
      <c r="D225" s="43">
        <v>10032</v>
      </c>
      <c r="E225" s="31"/>
      <c r="F225" s="44">
        <v>0</v>
      </c>
      <c r="G225" s="42" t="s">
        <v>1432</v>
      </c>
    </row>
    <row r="226" spans="1:7">
      <c r="A226" s="39" t="s">
        <v>4</v>
      </c>
      <c r="B226" s="40" t="s">
        <v>1456</v>
      </c>
      <c r="C226" s="27" t="s">
        <v>1435</v>
      </c>
      <c r="D226" s="43">
        <v>10032</v>
      </c>
      <c r="E226" s="31"/>
      <c r="F226" s="44">
        <v>0</v>
      </c>
      <c r="G226" s="42" t="s">
        <v>1432</v>
      </c>
    </row>
    <row r="227" spans="1:7">
      <c r="A227" s="39" t="s">
        <v>4</v>
      </c>
      <c r="B227" s="40" t="s">
        <v>1456</v>
      </c>
      <c r="C227" s="27" t="s">
        <v>1436</v>
      </c>
      <c r="D227" s="43">
        <v>10032</v>
      </c>
      <c r="E227" s="31"/>
      <c r="F227" s="44">
        <v>0</v>
      </c>
      <c r="G227" s="42" t="s">
        <v>1432</v>
      </c>
    </row>
    <row r="228" spans="1:7">
      <c r="A228" s="39" t="s">
        <v>4</v>
      </c>
      <c r="B228" s="40" t="s">
        <v>1456</v>
      </c>
      <c r="C228" s="27" t="s">
        <v>1306</v>
      </c>
      <c r="D228" s="43">
        <v>10032</v>
      </c>
      <c r="E228" s="31"/>
      <c r="F228" s="44">
        <v>0</v>
      </c>
      <c r="G228" s="42" t="s">
        <v>1432</v>
      </c>
    </row>
    <row r="229" spans="1:7">
      <c r="A229" s="39" t="s">
        <v>4</v>
      </c>
      <c r="B229" s="40" t="s">
        <v>1456</v>
      </c>
      <c r="C229" s="27" t="s">
        <v>1450</v>
      </c>
      <c r="D229" s="43">
        <v>10032</v>
      </c>
      <c r="E229" s="31"/>
      <c r="F229" s="44"/>
      <c r="G229" s="42" t="s">
        <v>1448</v>
      </c>
    </row>
    <row r="230" spans="1:7">
      <c r="A230" s="39" t="s">
        <v>4</v>
      </c>
      <c r="B230" s="40" t="s">
        <v>1456</v>
      </c>
      <c r="C230" s="27" t="s">
        <v>1437</v>
      </c>
      <c r="D230" s="43">
        <v>10032</v>
      </c>
      <c r="E230" s="31"/>
      <c r="F230" s="44">
        <v>0</v>
      </c>
      <c r="G230" s="42" t="s">
        <v>1432</v>
      </c>
    </row>
    <row r="231" spans="1:7">
      <c r="A231" s="39" t="s">
        <v>4</v>
      </c>
      <c r="B231" s="40" t="s">
        <v>1456</v>
      </c>
      <c r="C231" s="27" t="s">
        <v>1451</v>
      </c>
      <c r="D231" s="43">
        <v>10032</v>
      </c>
      <c r="E231" s="31"/>
      <c r="F231" s="44">
        <v>0</v>
      </c>
      <c r="G231" s="42" t="s">
        <v>1432</v>
      </c>
    </row>
    <row r="232" spans="1:7">
      <c r="A232" s="39" t="s">
        <v>4</v>
      </c>
      <c r="B232" s="40" t="s">
        <v>1456</v>
      </c>
      <c r="C232" s="27" t="s">
        <v>1446</v>
      </c>
      <c r="D232" s="43">
        <v>10032</v>
      </c>
      <c r="E232" s="31"/>
      <c r="F232" s="44">
        <v>0</v>
      </c>
      <c r="G232" s="42" t="s">
        <v>1432</v>
      </c>
    </row>
    <row r="233" spans="1:7">
      <c r="A233" s="39" t="s">
        <v>4</v>
      </c>
      <c r="B233" s="40" t="s">
        <v>1456</v>
      </c>
      <c r="C233" s="27" t="s">
        <v>1439</v>
      </c>
      <c r="D233" s="43">
        <v>10032</v>
      </c>
      <c r="E233" s="31"/>
      <c r="F233" s="44"/>
      <c r="G233" s="42" t="s">
        <v>1448</v>
      </c>
    </row>
    <row r="234" spans="1:7">
      <c r="A234" s="39" t="s">
        <v>4</v>
      </c>
      <c r="B234" s="40" t="s">
        <v>1456</v>
      </c>
      <c r="C234" s="27" t="s">
        <v>1440</v>
      </c>
      <c r="D234" s="43">
        <v>10032</v>
      </c>
      <c r="E234" s="31"/>
      <c r="F234" s="44"/>
      <c r="G234" s="42" t="s">
        <v>1448</v>
      </c>
    </row>
    <row r="235" spans="1:7">
      <c r="A235" s="39" t="s">
        <v>4</v>
      </c>
      <c r="B235" s="40" t="s">
        <v>1456</v>
      </c>
      <c r="C235" s="27" t="s">
        <v>1441</v>
      </c>
      <c r="D235" s="43">
        <v>10032</v>
      </c>
      <c r="E235" s="31"/>
      <c r="F235" s="44"/>
      <c r="G235" s="42" t="s">
        <v>1448</v>
      </c>
    </row>
    <row r="236" spans="1:7">
      <c r="A236" s="39" t="s">
        <v>4</v>
      </c>
      <c r="B236" s="40" t="s">
        <v>1456</v>
      </c>
      <c r="C236" s="27" t="s">
        <v>1442</v>
      </c>
      <c r="D236" s="43">
        <v>10032</v>
      </c>
      <c r="E236" s="31"/>
      <c r="F236" s="44"/>
      <c r="G236" s="42" t="s">
        <v>1448</v>
      </c>
    </row>
    <row r="237" spans="1:7">
      <c r="A237" s="39" t="s">
        <v>4</v>
      </c>
      <c r="B237" s="40" t="s">
        <v>1456</v>
      </c>
      <c r="C237" s="27" t="s">
        <v>1443</v>
      </c>
      <c r="D237" s="43">
        <v>10032</v>
      </c>
      <c r="E237" s="31"/>
      <c r="F237" s="44"/>
      <c r="G237" s="42" t="s">
        <v>1448</v>
      </c>
    </row>
    <row r="238" spans="1:7">
      <c r="A238" s="39" t="s">
        <v>4</v>
      </c>
      <c r="B238" s="40" t="s">
        <v>1456</v>
      </c>
      <c r="C238" s="27" t="s">
        <v>1444</v>
      </c>
      <c r="D238" s="43">
        <v>10032</v>
      </c>
      <c r="E238" s="31"/>
      <c r="F238" s="44"/>
      <c r="G238" s="42" t="s">
        <v>1448</v>
      </c>
    </row>
    <row r="239" spans="1:7">
      <c r="A239" s="39" t="s">
        <v>4</v>
      </c>
      <c r="B239" s="40" t="s">
        <v>1456</v>
      </c>
      <c r="C239" s="27" t="s">
        <v>1447</v>
      </c>
      <c r="D239" s="43">
        <v>10032</v>
      </c>
      <c r="E239" s="31"/>
      <c r="F239" s="44"/>
      <c r="G239" s="42" t="s">
        <v>1448</v>
      </c>
    </row>
    <row r="240" spans="1:7">
      <c r="A240" s="39" t="s">
        <v>4</v>
      </c>
      <c r="B240" s="40" t="s">
        <v>1457</v>
      </c>
      <c r="C240" s="27" t="s">
        <v>1431</v>
      </c>
      <c r="D240" s="43">
        <v>10032</v>
      </c>
      <c r="E240" s="31"/>
      <c r="F240" s="44">
        <v>0</v>
      </c>
      <c r="G240" s="42" t="s">
        <v>1432</v>
      </c>
    </row>
    <row r="241" spans="1:7">
      <c r="A241" s="39" t="s">
        <v>4</v>
      </c>
      <c r="B241" s="40" t="s">
        <v>1457</v>
      </c>
      <c r="C241" s="27" t="s">
        <v>1433</v>
      </c>
      <c r="D241" s="43">
        <v>10032</v>
      </c>
      <c r="E241" s="31"/>
      <c r="F241" s="44"/>
      <c r="G241" s="42" t="s">
        <v>1448</v>
      </c>
    </row>
    <row r="242" spans="1:7">
      <c r="A242" s="39" t="s">
        <v>4</v>
      </c>
      <c r="B242" s="40" t="s">
        <v>1457</v>
      </c>
      <c r="C242" s="27" t="s">
        <v>1434</v>
      </c>
      <c r="D242" s="43">
        <v>10032</v>
      </c>
      <c r="E242" s="31"/>
      <c r="F242" s="44">
        <v>0</v>
      </c>
      <c r="G242" s="42" t="s">
        <v>1432</v>
      </c>
    </row>
    <row r="243" spans="1:7">
      <c r="A243" s="39" t="s">
        <v>4</v>
      </c>
      <c r="B243" s="40" t="s">
        <v>1457</v>
      </c>
      <c r="C243" s="27" t="s">
        <v>1445</v>
      </c>
      <c r="D243" s="43">
        <v>10032</v>
      </c>
      <c r="E243" s="31"/>
      <c r="F243" s="44">
        <v>0</v>
      </c>
      <c r="G243" s="42" t="s">
        <v>1432</v>
      </c>
    </row>
    <row r="244" spans="1:7">
      <c r="A244" s="39" t="s">
        <v>4</v>
      </c>
      <c r="B244" s="40" t="s">
        <v>1457</v>
      </c>
      <c r="C244" s="27" t="s">
        <v>1435</v>
      </c>
      <c r="D244" s="43">
        <v>10032</v>
      </c>
      <c r="E244" s="31"/>
      <c r="F244" s="44">
        <v>0</v>
      </c>
      <c r="G244" s="42" t="s">
        <v>1432</v>
      </c>
    </row>
    <row r="245" spans="1:7">
      <c r="A245" s="39" t="s">
        <v>4</v>
      </c>
      <c r="B245" s="40" t="s">
        <v>1457</v>
      </c>
      <c r="C245" s="27" t="s">
        <v>1436</v>
      </c>
      <c r="D245" s="43">
        <v>10032</v>
      </c>
      <c r="E245" s="31"/>
      <c r="F245" s="44">
        <v>0</v>
      </c>
      <c r="G245" s="42" t="s">
        <v>1432</v>
      </c>
    </row>
    <row r="246" spans="1:7">
      <c r="A246" s="39" t="s">
        <v>4</v>
      </c>
      <c r="B246" s="40" t="s">
        <v>1457</v>
      </c>
      <c r="C246" s="27" t="s">
        <v>1306</v>
      </c>
      <c r="D246" s="43">
        <v>10032</v>
      </c>
      <c r="E246" s="31"/>
      <c r="F246" s="44">
        <v>0</v>
      </c>
      <c r="G246" s="42" t="s">
        <v>1432</v>
      </c>
    </row>
    <row r="247" spans="1:7">
      <c r="A247" s="39" t="s">
        <v>4</v>
      </c>
      <c r="B247" s="40" t="s">
        <v>1457</v>
      </c>
      <c r="C247" s="27" t="s">
        <v>1450</v>
      </c>
      <c r="D247" s="43">
        <v>10032</v>
      </c>
      <c r="E247" s="31"/>
      <c r="F247" s="44"/>
      <c r="G247" s="42" t="s">
        <v>1448</v>
      </c>
    </row>
    <row r="248" spans="1:7">
      <c r="A248" s="39" t="s">
        <v>4</v>
      </c>
      <c r="B248" s="40" t="s">
        <v>1457</v>
      </c>
      <c r="C248" s="27" t="s">
        <v>1437</v>
      </c>
      <c r="D248" s="43">
        <v>10032</v>
      </c>
      <c r="E248" s="31"/>
      <c r="F248" s="44">
        <v>0</v>
      </c>
      <c r="G248" s="42" t="s">
        <v>1432</v>
      </c>
    </row>
    <row r="249" spans="1:7">
      <c r="A249" s="39" t="s">
        <v>4</v>
      </c>
      <c r="B249" s="40" t="s">
        <v>1457</v>
      </c>
      <c r="C249" s="27" t="s">
        <v>1451</v>
      </c>
      <c r="D249" s="43">
        <v>10032</v>
      </c>
      <c r="E249" s="31"/>
      <c r="F249" s="44">
        <v>0</v>
      </c>
      <c r="G249" s="42" t="s">
        <v>1432</v>
      </c>
    </row>
    <row r="250" spans="1:7">
      <c r="A250" s="39" t="s">
        <v>4</v>
      </c>
      <c r="B250" s="40" t="s">
        <v>1457</v>
      </c>
      <c r="C250" s="27" t="s">
        <v>1446</v>
      </c>
      <c r="D250" s="43">
        <v>10032</v>
      </c>
      <c r="E250" s="31"/>
      <c r="F250" s="44">
        <v>0</v>
      </c>
      <c r="G250" s="42" t="s">
        <v>1432</v>
      </c>
    </row>
    <row r="251" spans="1:7">
      <c r="A251" s="39" t="s">
        <v>4</v>
      </c>
      <c r="B251" s="40" t="s">
        <v>1457</v>
      </c>
      <c r="C251" s="27" t="s">
        <v>1439</v>
      </c>
      <c r="D251" s="43">
        <v>10032</v>
      </c>
      <c r="E251" s="31"/>
      <c r="F251" s="44"/>
      <c r="G251" s="42" t="s">
        <v>1448</v>
      </c>
    </row>
    <row r="252" spans="1:7">
      <c r="A252" s="39" t="s">
        <v>4</v>
      </c>
      <c r="B252" s="40" t="s">
        <v>1457</v>
      </c>
      <c r="C252" s="27" t="s">
        <v>1440</v>
      </c>
      <c r="D252" s="43">
        <v>10032</v>
      </c>
      <c r="E252" s="31"/>
      <c r="F252" s="44"/>
      <c r="G252" s="42" t="s">
        <v>1448</v>
      </c>
    </row>
    <row r="253" spans="1:7">
      <c r="A253" s="39" t="s">
        <v>4</v>
      </c>
      <c r="B253" s="40" t="s">
        <v>1457</v>
      </c>
      <c r="C253" s="27" t="s">
        <v>1441</v>
      </c>
      <c r="D253" s="43">
        <v>10032</v>
      </c>
      <c r="E253" s="31"/>
      <c r="F253" s="44"/>
      <c r="G253" s="42" t="s">
        <v>1448</v>
      </c>
    </row>
    <row r="254" spans="1:7">
      <c r="A254" s="39" t="s">
        <v>4</v>
      </c>
      <c r="B254" s="40" t="s">
        <v>1457</v>
      </c>
      <c r="C254" s="27" t="s">
        <v>1442</v>
      </c>
      <c r="D254" s="43">
        <v>10032</v>
      </c>
      <c r="E254" s="31"/>
      <c r="F254" s="44"/>
      <c r="G254" s="42" t="s">
        <v>1448</v>
      </c>
    </row>
    <row r="255" spans="1:7">
      <c r="A255" s="39" t="s">
        <v>4</v>
      </c>
      <c r="B255" s="40" t="s">
        <v>1457</v>
      </c>
      <c r="C255" s="27" t="s">
        <v>1443</v>
      </c>
      <c r="D255" s="43">
        <v>10032</v>
      </c>
      <c r="E255" s="31"/>
      <c r="F255" s="44"/>
      <c r="G255" s="42" t="s">
        <v>1448</v>
      </c>
    </row>
    <row r="256" spans="1:7">
      <c r="A256" s="39" t="s">
        <v>4</v>
      </c>
      <c r="B256" s="40" t="s">
        <v>1457</v>
      </c>
      <c r="C256" s="27" t="s">
        <v>1444</v>
      </c>
      <c r="D256" s="43">
        <v>10032</v>
      </c>
      <c r="E256" s="31"/>
      <c r="F256" s="44"/>
      <c r="G256" s="42" t="s">
        <v>1448</v>
      </c>
    </row>
    <row r="257" spans="1:8">
      <c r="A257" s="39" t="s">
        <v>4</v>
      </c>
      <c r="B257" s="40" t="s">
        <v>1457</v>
      </c>
      <c r="C257" s="27" t="s">
        <v>1447</v>
      </c>
      <c r="D257" s="43">
        <v>10032</v>
      </c>
      <c r="E257" s="31"/>
      <c r="F257" s="44"/>
      <c r="G257" s="42" t="s">
        <v>1448</v>
      </c>
    </row>
    <row r="258" spans="1:8">
      <c r="A258" s="40" t="s">
        <v>3</v>
      </c>
      <c r="B258" s="40" t="s">
        <v>1202</v>
      </c>
      <c r="C258" s="40" t="s">
        <v>1572</v>
      </c>
      <c r="D258" s="43">
        <v>167.2</v>
      </c>
      <c r="E258" s="43">
        <v>160.43333333333334</v>
      </c>
      <c r="F258" s="44">
        <v>0.95952950558213723</v>
      </c>
      <c r="G258" s="42" t="s">
        <v>1319</v>
      </c>
      <c r="H258" s="20"/>
    </row>
    <row r="259" spans="1:8">
      <c r="A259" s="40" t="s">
        <v>3</v>
      </c>
      <c r="B259" s="40" t="s">
        <v>1202</v>
      </c>
      <c r="C259" s="40" t="s">
        <v>1573</v>
      </c>
      <c r="D259" s="43">
        <v>167.2</v>
      </c>
      <c r="E259" s="43">
        <v>52.18333333333333</v>
      </c>
      <c r="F259" s="44">
        <v>0.31210127591706538</v>
      </c>
      <c r="G259" s="42" t="s">
        <v>1320</v>
      </c>
      <c r="H259" s="20"/>
    </row>
    <row r="260" spans="1:8">
      <c r="A260" s="40" t="s">
        <v>3</v>
      </c>
      <c r="B260" s="40" t="s">
        <v>1202</v>
      </c>
      <c r="C260" s="40" t="s">
        <v>1574</v>
      </c>
      <c r="D260" s="43">
        <v>167.2</v>
      </c>
      <c r="E260" s="43">
        <v>148.16666666666666</v>
      </c>
      <c r="F260" s="44">
        <v>0.88616427432216904</v>
      </c>
      <c r="G260" s="42" t="s">
        <v>1320</v>
      </c>
      <c r="H260" s="20"/>
    </row>
    <row r="261" spans="1:8">
      <c r="A261" s="40" t="s">
        <v>3</v>
      </c>
      <c r="B261" s="40" t="s">
        <v>1202</v>
      </c>
      <c r="C261" s="40" t="s">
        <v>1575</v>
      </c>
      <c r="D261" s="43">
        <v>167.2</v>
      </c>
      <c r="E261" s="43">
        <v>118.11666666666666</v>
      </c>
      <c r="F261" s="44">
        <v>0.70643939393939392</v>
      </c>
      <c r="G261" s="42" t="s">
        <v>1320</v>
      </c>
      <c r="H261" s="38"/>
    </row>
    <row r="262" spans="1:8">
      <c r="A262" s="40" t="s">
        <v>3</v>
      </c>
      <c r="B262" s="40" t="s">
        <v>1202</v>
      </c>
      <c r="C262" s="40" t="s">
        <v>1576</v>
      </c>
      <c r="D262" s="43">
        <v>167.2</v>
      </c>
      <c r="E262" s="43">
        <v>95.016666666666666</v>
      </c>
      <c r="F262" s="44">
        <v>0.56828149920255189</v>
      </c>
      <c r="G262" s="42" t="s">
        <v>1320</v>
      </c>
      <c r="H262" s="38"/>
    </row>
    <row r="263" spans="1:8">
      <c r="A263" s="40" t="s">
        <v>3</v>
      </c>
      <c r="B263" s="40" t="s">
        <v>1202</v>
      </c>
      <c r="C263" s="40" t="s">
        <v>1577</v>
      </c>
      <c r="D263" s="43">
        <v>167.2</v>
      </c>
      <c r="E263" s="43">
        <v>132.25</v>
      </c>
      <c r="F263" s="44">
        <v>0.79096889952153115</v>
      </c>
      <c r="G263" s="42" t="s">
        <v>1320</v>
      </c>
      <c r="H263" s="38"/>
    </row>
    <row r="264" spans="1:8">
      <c r="A264" s="40" t="s">
        <v>3</v>
      </c>
      <c r="B264" s="40" t="s">
        <v>1202</v>
      </c>
      <c r="C264" s="40" t="s">
        <v>1578</v>
      </c>
      <c r="D264" s="43">
        <v>167.2</v>
      </c>
      <c r="E264" s="43">
        <v>117.16666666666667</v>
      </c>
      <c r="F264" s="44">
        <v>0.7007575757575758</v>
      </c>
      <c r="G264" s="42" t="s">
        <v>1320</v>
      </c>
      <c r="H264" s="38"/>
    </row>
    <row r="265" spans="1:8">
      <c r="A265" s="40" t="s">
        <v>3</v>
      </c>
      <c r="B265" s="40" t="s">
        <v>1202</v>
      </c>
      <c r="C265" s="40" t="s">
        <v>1222</v>
      </c>
      <c r="D265" s="43">
        <v>167.2</v>
      </c>
      <c r="E265" s="43">
        <v>125</v>
      </c>
      <c r="F265" s="44">
        <v>0.74760765550239239</v>
      </c>
      <c r="G265" s="42" t="s">
        <v>1320</v>
      </c>
      <c r="H265" s="38"/>
    </row>
    <row r="266" spans="1:8">
      <c r="A266" s="40" t="s">
        <v>3</v>
      </c>
      <c r="B266" s="40" t="s">
        <v>1202</v>
      </c>
      <c r="C266" s="40" t="s">
        <v>1579</v>
      </c>
      <c r="D266" s="43">
        <v>167.2</v>
      </c>
      <c r="E266" s="43">
        <v>225.43333333333334</v>
      </c>
      <c r="F266" s="44">
        <v>1.3482854864433813</v>
      </c>
      <c r="G266" s="42" t="s">
        <v>1318</v>
      </c>
      <c r="H266" s="38"/>
    </row>
    <row r="267" spans="1:8">
      <c r="A267" s="40" t="s">
        <v>3</v>
      </c>
      <c r="B267" s="40" t="s">
        <v>1202</v>
      </c>
      <c r="C267" s="40" t="s">
        <v>1580</v>
      </c>
      <c r="D267" s="43">
        <v>167.2</v>
      </c>
      <c r="E267" s="43">
        <v>162.71666666666667</v>
      </c>
      <c r="F267" s="44">
        <v>0.97318580542264765</v>
      </c>
      <c r="G267" s="42" t="s">
        <v>1319</v>
      </c>
      <c r="H267" s="38"/>
    </row>
    <row r="268" spans="1:8">
      <c r="A268" s="40" t="s">
        <v>3</v>
      </c>
      <c r="B268" s="40" t="s">
        <v>1202</v>
      </c>
      <c r="C268" s="40" t="s">
        <v>1581</v>
      </c>
      <c r="D268" s="43">
        <v>167.2</v>
      </c>
      <c r="E268" s="43">
        <v>197.33333333333334</v>
      </c>
      <c r="F268" s="44">
        <v>1.1802232854864436</v>
      </c>
      <c r="G268" s="42" t="s">
        <v>1318</v>
      </c>
      <c r="H268" s="38"/>
    </row>
    <row r="269" spans="1:8">
      <c r="A269" s="40" t="s">
        <v>3</v>
      </c>
      <c r="B269" s="40" t="s">
        <v>1202</v>
      </c>
      <c r="C269" s="40" t="s">
        <v>1582</v>
      </c>
      <c r="D269" s="43">
        <v>167.2</v>
      </c>
      <c r="E269" s="43">
        <v>167.13333333333333</v>
      </c>
      <c r="F269" s="44">
        <v>0.99960127591706538</v>
      </c>
      <c r="G269" s="42" t="s">
        <v>1319</v>
      </c>
      <c r="H269" s="38"/>
    </row>
    <row r="270" spans="1:8">
      <c r="A270" s="40" t="s">
        <v>3</v>
      </c>
      <c r="B270" s="40" t="s">
        <v>1202</v>
      </c>
      <c r="C270" s="40" t="s">
        <v>1583</v>
      </c>
      <c r="D270" s="43">
        <v>167.2</v>
      </c>
      <c r="E270" s="43">
        <v>40.81666666666667</v>
      </c>
      <c r="F270" s="44">
        <v>0.24411881977671454</v>
      </c>
      <c r="G270" s="42" t="s">
        <v>1320</v>
      </c>
      <c r="H270" s="38"/>
    </row>
    <row r="271" spans="1:8">
      <c r="A271" s="40" t="s">
        <v>3</v>
      </c>
      <c r="B271" s="40" t="s">
        <v>1202</v>
      </c>
      <c r="C271" s="40" t="s">
        <v>1584</v>
      </c>
      <c r="D271" s="43">
        <v>167.2</v>
      </c>
      <c r="E271" s="43">
        <v>135.85</v>
      </c>
      <c r="F271" s="44">
        <v>0.8125</v>
      </c>
      <c r="G271" s="42" t="s">
        <v>1320</v>
      </c>
      <c r="H271" s="38"/>
    </row>
    <row r="272" spans="1:8">
      <c r="A272" s="40" t="s">
        <v>3</v>
      </c>
      <c r="B272" s="40" t="s">
        <v>1202</v>
      </c>
      <c r="C272" s="40" t="s">
        <v>1585</v>
      </c>
      <c r="D272" s="43">
        <v>167.2</v>
      </c>
      <c r="E272" s="43">
        <v>192.21666666666667</v>
      </c>
      <c r="F272" s="44">
        <v>1.1496212121212122</v>
      </c>
      <c r="G272" s="42" t="s">
        <v>1318</v>
      </c>
      <c r="H272" s="38"/>
    </row>
    <row r="273" spans="1:8">
      <c r="A273" s="40" t="s">
        <v>3</v>
      </c>
      <c r="B273" s="40" t="s">
        <v>1202</v>
      </c>
      <c r="C273" s="40" t="s">
        <v>1586</v>
      </c>
      <c r="D273" s="43">
        <v>167.2</v>
      </c>
      <c r="E273" s="43">
        <v>224.36666666666667</v>
      </c>
      <c r="F273" s="44">
        <v>1.3419059011164276</v>
      </c>
      <c r="G273" s="42" t="s">
        <v>1318</v>
      </c>
      <c r="H273" s="38"/>
    </row>
    <row r="274" spans="1:8">
      <c r="A274" s="81" t="s">
        <v>3</v>
      </c>
      <c r="B274" s="81" t="s">
        <v>1202</v>
      </c>
      <c r="C274" s="81" t="s">
        <v>1306</v>
      </c>
      <c r="D274" s="177">
        <v>83.6</v>
      </c>
      <c r="E274" s="177">
        <v>77</v>
      </c>
      <c r="F274" s="178">
        <v>0.92105263157894746</v>
      </c>
      <c r="G274" s="179" t="s">
        <v>1321</v>
      </c>
      <c r="H274" s="180"/>
    </row>
    <row r="275" spans="1:8">
      <c r="A275" s="81" t="s">
        <v>3</v>
      </c>
      <c r="B275" s="81" t="s">
        <v>1202</v>
      </c>
      <c r="C275" s="81" t="s">
        <v>1587</v>
      </c>
      <c r="D275" s="177">
        <v>167.2</v>
      </c>
      <c r="E275" s="177">
        <v>139.48333333333332</v>
      </c>
      <c r="F275" s="178">
        <v>0.83423046251993616</v>
      </c>
      <c r="G275" s="179" t="s">
        <v>1320</v>
      </c>
      <c r="H275" s="180"/>
    </row>
    <row r="276" spans="1:8">
      <c r="A276" s="40" t="s">
        <v>3</v>
      </c>
      <c r="B276" s="40" t="s">
        <v>1203</v>
      </c>
      <c r="C276" s="40" t="s">
        <v>1573</v>
      </c>
      <c r="D276" s="43">
        <v>167.2</v>
      </c>
      <c r="E276" s="43">
        <v>117.4</v>
      </c>
      <c r="F276" s="44">
        <v>0.70215311004784697</v>
      </c>
      <c r="G276" s="42" t="s">
        <v>1320</v>
      </c>
      <c r="H276" s="38"/>
    </row>
    <row r="277" spans="1:8">
      <c r="A277" s="40" t="s">
        <v>3</v>
      </c>
      <c r="B277" s="40" t="s">
        <v>1203</v>
      </c>
      <c r="C277" s="40" t="s">
        <v>1574</v>
      </c>
      <c r="D277" s="43">
        <v>167.2</v>
      </c>
      <c r="E277" s="43">
        <v>158.08333333333334</v>
      </c>
      <c r="F277" s="44">
        <v>0.9454744816586923</v>
      </c>
      <c r="G277" s="42" t="s">
        <v>1321</v>
      </c>
      <c r="H277" s="38"/>
    </row>
    <row r="278" spans="1:8">
      <c r="A278" s="40" t="s">
        <v>3</v>
      </c>
      <c r="B278" s="40" t="s">
        <v>1203</v>
      </c>
      <c r="C278" s="40" t="s">
        <v>1575</v>
      </c>
      <c r="D278" s="43">
        <v>167.2</v>
      </c>
      <c r="E278" s="43">
        <v>132.53333333333333</v>
      </c>
      <c r="F278" s="44">
        <v>0.79266347687400318</v>
      </c>
      <c r="G278" s="42" t="s">
        <v>1320</v>
      </c>
      <c r="H278" s="38"/>
    </row>
    <row r="279" spans="1:8">
      <c r="A279" s="40" t="s">
        <v>3</v>
      </c>
      <c r="B279" s="40" t="s">
        <v>1203</v>
      </c>
      <c r="C279" s="40" t="s">
        <v>1576</v>
      </c>
      <c r="D279" s="43">
        <v>167.2</v>
      </c>
      <c r="E279" s="43">
        <v>122.75</v>
      </c>
      <c r="F279" s="44">
        <v>0.73415071770334939</v>
      </c>
      <c r="G279" s="42" t="s">
        <v>1320</v>
      </c>
      <c r="H279" s="38"/>
    </row>
    <row r="280" spans="1:8">
      <c r="A280" s="40" t="s">
        <v>3</v>
      </c>
      <c r="B280" s="40" t="s">
        <v>1203</v>
      </c>
      <c r="C280" s="40" t="s">
        <v>1577</v>
      </c>
      <c r="D280" s="43">
        <v>167.2</v>
      </c>
      <c r="E280" s="43">
        <v>183.65</v>
      </c>
      <c r="F280" s="44">
        <v>1.098385167464115</v>
      </c>
      <c r="G280" s="42" t="s">
        <v>1318</v>
      </c>
      <c r="H280" s="38"/>
    </row>
    <row r="281" spans="1:8">
      <c r="A281" s="40" t="s">
        <v>3</v>
      </c>
      <c r="B281" s="40" t="s">
        <v>1203</v>
      </c>
      <c r="C281" s="40" t="s">
        <v>1578</v>
      </c>
      <c r="D281" s="43">
        <v>167.2</v>
      </c>
      <c r="E281" s="43">
        <v>127.63333333333334</v>
      </c>
      <c r="F281" s="44">
        <v>0.76335725677830946</v>
      </c>
      <c r="G281" s="42" t="s">
        <v>1320</v>
      </c>
      <c r="H281" s="38"/>
    </row>
    <row r="282" spans="1:8">
      <c r="A282" s="40" t="s">
        <v>3</v>
      </c>
      <c r="B282" s="40" t="s">
        <v>1203</v>
      </c>
      <c r="C282" s="40" t="s">
        <v>1222</v>
      </c>
      <c r="D282" s="43">
        <v>167.2</v>
      </c>
      <c r="E282" s="43">
        <v>141.18333333333334</v>
      </c>
      <c r="F282" s="44">
        <v>0.84439792663476887</v>
      </c>
      <c r="G282" s="42" t="s">
        <v>1320</v>
      </c>
      <c r="H282" s="38"/>
    </row>
    <row r="283" spans="1:8">
      <c r="A283" s="40" t="s">
        <v>3</v>
      </c>
      <c r="B283" s="40" t="s">
        <v>1203</v>
      </c>
      <c r="C283" s="40" t="s">
        <v>1579</v>
      </c>
      <c r="D283" s="43">
        <v>167.2</v>
      </c>
      <c r="E283" s="43">
        <v>199.56666666666666</v>
      </c>
      <c r="F283" s="44">
        <v>1.1935805422647527</v>
      </c>
      <c r="G283" s="42" t="s">
        <v>1318</v>
      </c>
      <c r="H283" s="38"/>
    </row>
    <row r="284" spans="1:8">
      <c r="A284" s="40" t="s">
        <v>3</v>
      </c>
      <c r="B284" s="40" t="s">
        <v>1203</v>
      </c>
      <c r="C284" s="40" t="s">
        <v>1580</v>
      </c>
      <c r="D284" s="43">
        <v>167.2</v>
      </c>
      <c r="E284" s="43">
        <v>255.08333333333334</v>
      </c>
      <c r="F284" s="44">
        <v>1.5256180223285487</v>
      </c>
      <c r="G284" s="42" t="s">
        <v>1318</v>
      </c>
      <c r="H284" s="38"/>
    </row>
    <row r="285" spans="1:8">
      <c r="A285" s="40" t="s">
        <v>3</v>
      </c>
      <c r="B285" s="40" t="s">
        <v>1203</v>
      </c>
      <c r="C285" s="40" t="s">
        <v>1581</v>
      </c>
      <c r="D285" s="43">
        <v>167.2</v>
      </c>
      <c r="E285" s="43">
        <v>195.81666666666666</v>
      </c>
      <c r="F285" s="44">
        <v>1.171152312599681</v>
      </c>
      <c r="G285" s="42" t="s">
        <v>1318</v>
      </c>
    </row>
    <row r="286" spans="1:8">
      <c r="A286" s="40" t="s">
        <v>3</v>
      </c>
      <c r="B286" s="40" t="s">
        <v>1203</v>
      </c>
      <c r="C286" s="40" t="s">
        <v>1582</v>
      </c>
      <c r="D286" s="43">
        <v>167.2</v>
      </c>
      <c r="E286" s="43">
        <v>152.4</v>
      </c>
      <c r="F286" s="44">
        <v>0.9114832535885169</v>
      </c>
      <c r="G286" s="42" t="s">
        <v>1321</v>
      </c>
    </row>
    <row r="287" spans="1:8">
      <c r="A287" s="40" t="s">
        <v>3</v>
      </c>
      <c r="B287" s="40" t="s">
        <v>1203</v>
      </c>
      <c r="C287" s="40" t="s">
        <v>1584</v>
      </c>
      <c r="D287" s="43">
        <v>167.2</v>
      </c>
      <c r="E287" s="43">
        <v>153.63333333333333</v>
      </c>
      <c r="F287" s="44">
        <v>0.91885964912280704</v>
      </c>
      <c r="G287" s="42" t="s">
        <v>1321</v>
      </c>
      <c r="H287" s="181"/>
    </row>
    <row r="288" spans="1:8">
      <c r="A288" s="40" t="s">
        <v>3</v>
      </c>
      <c r="B288" s="40" t="s">
        <v>1203</v>
      </c>
      <c r="C288" s="40" t="s">
        <v>1585</v>
      </c>
      <c r="D288" s="43">
        <v>167.2</v>
      </c>
      <c r="E288" s="43">
        <v>174.61666666666667</v>
      </c>
      <c r="F288" s="44">
        <v>1.0443580542264754</v>
      </c>
      <c r="G288" s="42" t="s">
        <v>1318</v>
      </c>
    </row>
    <row r="289" spans="1:8">
      <c r="A289" s="40" t="s">
        <v>3</v>
      </c>
      <c r="B289" s="40" t="s">
        <v>1203</v>
      </c>
      <c r="C289" s="40" t="s">
        <v>1586</v>
      </c>
      <c r="D289" s="43">
        <v>167.2</v>
      </c>
      <c r="E289" s="43">
        <v>231</v>
      </c>
      <c r="F289" s="44">
        <v>1.3815789473684212</v>
      </c>
      <c r="G289" s="42" t="s">
        <v>1318</v>
      </c>
    </row>
    <row r="290" spans="1:8">
      <c r="A290" s="40" t="s">
        <v>3</v>
      </c>
      <c r="B290" s="40" t="s">
        <v>1203</v>
      </c>
      <c r="C290" s="40" t="s">
        <v>1306</v>
      </c>
      <c r="D290" s="43">
        <v>83.6</v>
      </c>
      <c r="E290" s="43">
        <v>68.816666666666663</v>
      </c>
      <c r="F290" s="44">
        <v>0.82316586921850077</v>
      </c>
      <c r="G290" s="42" t="s">
        <v>1320</v>
      </c>
    </row>
    <row r="291" spans="1:8">
      <c r="A291" s="81" t="s">
        <v>3</v>
      </c>
      <c r="B291" s="81" t="s">
        <v>1203</v>
      </c>
      <c r="C291" s="81" t="s">
        <v>1587</v>
      </c>
      <c r="D291" s="177">
        <v>167.2</v>
      </c>
      <c r="E291" s="177">
        <v>176.96666666666667</v>
      </c>
      <c r="F291" s="178">
        <v>1.0584130781499204</v>
      </c>
      <c r="G291" s="179" t="s">
        <v>1318</v>
      </c>
      <c r="H291" s="182"/>
    </row>
    <row r="292" spans="1:8">
      <c r="A292" s="40" t="s">
        <v>3</v>
      </c>
      <c r="B292" s="40" t="s">
        <v>1204</v>
      </c>
      <c r="C292" s="40" t="s">
        <v>1573</v>
      </c>
      <c r="D292" s="43">
        <v>167.2</v>
      </c>
      <c r="E292" s="43">
        <v>187.6</v>
      </c>
      <c r="F292" s="44">
        <v>1.1220095693779906</v>
      </c>
      <c r="G292" s="42" t="s">
        <v>1318</v>
      </c>
    </row>
    <row r="293" spans="1:8">
      <c r="A293" s="40" t="s">
        <v>3</v>
      </c>
      <c r="B293" s="40" t="s">
        <v>1204</v>
      </c>
      <c r="C293" s="40" t="s">
        <v>1574</v>
      </c>
      <c r="D293" s="43">
        <v>167.2</v>
      </c>
      <c r="E293" s="43">
        <v>165.86666666666667</v>
      </c>
      <c r="F293" s="44">
        <v>0.99202551834130792</v>
      </c>
      <c r="G293" s="42" t="s">
        <v>1319</v>
      </c>
    </row>
    <row r="294" spans="1:8">
      <c r="A294" s="40" t="s">
        <v>3</v>
      </c>
      <c r="B294" s="40" t="s">
        <v>1204</v>
      </c>
      <c r="C294" s="40" t="s">
        <v>1575</v>
      </c>
      <c r="D294" s="43">
        <v>167.2</v>
      </c>
      <c r="E294" s="43">
        <v>175.61666666666667</v>
      </c>
      <c r="F294" s="44">
        <v>1.0503389154704945</v>
      </c>
      <c r="G294" s="42" t="s">
        <v>1318</v>
      </c>
    </row>
    <row r="295" spans="1:8">
      <c r="A295" s="40" t="s">
        <v>3</v>
      </c>
      <c r="B295" s="40" t="s">
        <v>1204</v>
      </c>
      <c r="C295" s="40" t="s">
        <v>1576</v>
      </c>
      <c r="D295" s="43">
        <v>167.2</v>
      </c>
      <c r="E295" s="43">
        <v>179.18333333333334</v>
      </c>
      <c r="F295" s="44">
        <v>1.0716706539074961</v>
      </c>
      <c r="G295" s="42" t="s">
        <v>1318</v>
      </c>
    </row>
    <row r="296" spans="1:8">
      <c r="A296" s="40" t="s">
        <v>3</v>
      </c>
      <c r="B296" s="40" t="s">
        <v>1204</v>
      </c>
      <c r="C296" s="40" t="s">
        <v>1577</v>
      </c>
      <c r="D296" s="43">
        <v>167.2</v>
      </c>
      <c r="E296" s="43">
        <v>188.56666666666666</v>
      </c>
      <c r="F296" s="44">
        <v>1.1277910685805423</v>
      </c>
      <c r="G296" s="42" t="s">
        <v>1318</v>
      </c>
    </row>
    <row r="297" spans="1:8">
      <c r="A297" s="40" t="s">
        <v>3</v>
      </c>
      <c r="B297" s="40" t="s">
        <v>1204</v>
      </c>
      <c r="C297" s="40" t="s">
        <v>1578</v>
      </c>
      <c r="D297" s="43">
        <v>167.2</v>
      </c>
      <c r="E297" s="43">
        <v>120.33333333333333</v>
      </c>
      <c r="F297" s="44">
        <v>0.71969696969696972</v>
      </c>
      <c r="G297" s="42" t="s">
        <v>1320</v>
      </c>
    </row>
    <row r="298" spans="1:8">
      <c r="A298" s="40" t="s">
        <v>3</v>
      </c>
      <c r="B298" s="40" t="s">
        <v>1204</v>
      </c>
      <c r="C298" s="40" t="s">
        <v>1222</v>
      </c>
      <c r="D298" s="43">
        <v>167.2</v>
      </c>
      <c r="E298" s="43">
        <v>153.46666666666667</v>
      </c>
      <c r="F298" s="44">
        <v>0.9178628389154706</v>
      </c>
      <c r="G298" s="42" t="s">
        <v>1321</v>
      </c>
    </row>
    <row r="299" spans="1:8">
      <c r="A299" s="40" t="s">
        <v>3</v>
      </c>
      <c r="B299" s="40" t="s">
        <v>1204</v>
      </c>
      <c r="C299" s="40" t="s">
        <v>1579</v>
      </c>
      <c r="D299" s="43">
        <v>167.2</v>
      </c>
      <c r="E299" s="43">
        <v>223.96666666666667</v>
      </c>
      <c r="F299" s="44">
        <v>1.3395135566188199</v>
      </c>
      <c r="G299" s="42" t="s">
        <v>1318</v>
      </c>
    </row>
    <row r="300" spans="1:8">
      <c r="A300" s="40" t="s">
        <v>3</v>
      </c>
      <c r="B300" s="40" t="s">
        <v>1204</v>
      </c>
      <c r="C300" s="40" t="s">
        <v>1580</v>
      </c>
      <c r="D300" s="43">
        <v>167.2</v>
      </c>
      <c r="E300" s="43">
        <v>267.93333333333334</v>
      </c>
      <c r="F300" s="44">
        <v>1.6024720893141946</v>
      </c>
      <c r="G300" s="42" t="s">
        <v>1318</v>
      </c>
    </row>
    <row r="301" spans="1:8">
      <c r="A301" s="40" t="s">
        <v>3</v>
      </c>
      <c r="B301" s="40" t="s">
        <v>1204</v>
      </c>
      <c r="C301" s="40" t="s">
        <v>1581</v>
      </c>
      <c r="D301" s="43">
        <v>167.2</v>
      </c>
      <c r="E301" s="43">
        <v>228.9</v>
      </c>
      <c r="F301" s="44">
        <v>1.3690191387559809</v>
      </c>
      <c r="G301" s="42" t="s">
        <v>1318</v>
      </c>
    </row>
    <row r="302" spans="1:8">
      <c r="A302" s="40" t="s">
        <v>3</v>
      </c>
      <c r="B302" s="40" t="s">
        <v>1204</v>
      </c>
      <c r="C302" s="40" t="s">
        <v>1582</v>
      </c>
      <c r="D302" s="43">
        <v>167.2</v>
      </c>
      <c r="E302" s="43">
        <v>157.26666666666668</v>
      </c>
      <c r="F302" s="44">
        <v>0.94059011164274331</v>
      </c>
      <c r="G302" s="42" t="s">
        <v>1321</v>
      </c>
    </row>
    <row r="303" spans="1:8">
      <c r="A303" s="40" t="s">
        <v>3</v>
      </c>
      <c r="B303" s="40" t="s">
        <v>1204</v>
      </c>
      <c r="C303" s="40" t="s">
        <v>1588</v>
      </c>
      <c r="D303" s="43">
        <v>167.2</v>
      </c>
      <c r="E303" s="43">
        <v>7.2833333333333332</v>
      </c>
      <c r="F303" s="44">
        <v>4.3560606060606064E-2</v>
      </c>
      <c r="G303" s="42" t="s">
        <v>1320</v>
      </c>
      <c r="H303" s="181"/>
    </row>
    <row r="304" spans="1:8">
      <c r="A304" s="40" t="s">
        <v>3</v>
      </c>
      <c r="B304" s="40" t="s">
        <v>1204</v>
      </c>
      <c r="C304" s="40" t="s">
        <v>1584</v>
      </c>
      <c r="D304" s="43">
        <v>167.2</v>
      </c>
      <c r="E304" s="43">
        <v>184.31666666666666</v>
      </c>
      <c r="F304" s="44">
        <v>1.1023724082934609</v>
      </c>
      <c r="G304" s="42" t="s">
        <v>1318</v>
      </c>
    </row>
    <row r="305" spans="1:8">
      <c r="A305" s="40" t="s">
        <v>3</v>
      </c>
      <c r="B305" s="40" t="s">
        <v>1204</v>
      </c>
      <c r="C305" s="40" t="s">
        <v>1585</v>
      </c>
      <c r="D305" s="43">
        <v>167.2</v>
      </c>
      <c r="E305" s="43">
        <v>187.4</v>
      </c>
      <c r="F305" s="44">
        <v>1.1208133971291867</v>
      </c>
      <c r="G305" s="42" t="s">
        <v>1318</v>
      </c>
    </row>
    <row r="306" spans="1:8">
      <c r="A306" s="40" t="s">
        <v>3</v>
      </c>
      <c r="B306" s="40" t="s">
        <v>1204</v>
      </c>
      <c r="C306" s="40" t="s">
        <v>1586</v>
      </c>
      <c r="D306" s="43">
        <v>167.2</v>
      </c>
      <c r="E306" s="43">
        <v>266.2</v>
      </c>
      <c r="F306" s="44">
        <v>1.5921052631578947</v>
      </c>
      <c r="G306" s="42" t="s">
        <v>1318</v>
      </c>
    </row>
    <row r="307" spans="1:8">
      <c r="A307" s="40" t="s">
        <v>3</v>
      </c>
      <c r="B307" s="40" t="s">
        <v>1204</v>
      </c>
      <c r="C307" s="40" t="s">
        <v>1306</v>
      </c>
      <c r="D307" s="43">
        <v>83.6</v>
      </c>
      <c r="E307" s="43">
        <v>82.05</v>
      </c>
      <c r="F307" s="44">
        <v>0.9814593301435407</v>
      </c>
      <c r="G307" s="42" t="s">
        <v>1319</v>
      </c>
    </row>
    <row r="308" spans="1:8">
      <c r="A308" s="81" t="s">
        <v>3</v>
      </c>
      <c r="B308" s="81" t="s">
        <v>1204</v>
      </c>
      <c r="C308" s="81" t="s">
        <v>1587</v>
      </c>
      <c r="D308" s="177">
        <v>167.2</v>
      </c>
      <c r="E308" s="177">
        <v>180.25</v>
      </c>
      <c r="F308" s="178">
        <v>1.0780502392344498</v>
      </c>
      <c r="G308" s="179" t="s">
        <v>1318</v>
      </c>
      <c r="H308" s="182"/>
    </row>
    <row r="309" spans="1:8">
      <c r="A309" s="40" t="s">
        <v>3</v>
      </c>
      <c r="B309" s="40" t="s">
        <v>1205</v>
      </c>
      <c r="C309" s="40" t="s">
        <v>1573</v>
      </c>
      <c r="D309" s="43">
        <v>167.2</v>
      </c>
      <c r="E309" s="43">
        <v>164.31666666666666</v>
      </c>
      <c r="F309" s="44">
        <v>0.98275518341307821</v>
      </c>
      <c r="G309" s="42" t="s">
        <v>1319</v>
      </c>
    </row>
    <row r="310" spans="1:8">
      <c r="A310" s="40" t="s">
        <v>3</v>
      </c>
      <c r="B310" s="40" t="s">
        <v>1205</v>
      </c>
      <c r="C310" s="40" t="s">
        <v>1574</v>
      </c>
      <c r="D310" s="43">
        <v>167.2</v>
      </c>
      <c r="E310" s="43">
        <v>185.26666666666668</v>
      </c>
      <c r="F310" s="44">
        <v>1.1080542264752793</v>
      </c>
      <c r="G310" s="42" t="s">
        <v>1318</v>
      </c>
    </row>
    <row r="311" spans="1:8">
      <c r="A311" s="40" t="s">
        <v>3</v>
      </c>
      <c r="B311" s="40" t="s">
        <v>1205</v>
      </c>
      <c r="C311" s="40" t="s">
        <v>1575</v>
      </c>
      <c r="D311" s="43">
        <v>167.2</v>
      </c>
      <c r="E311" s="43">
        <v>147.03333333333333</v>
      </c>
      <c r="F311" s="44">
        <v>0.87938596491228072</v>
      </c>
      <c r="G311" s="42" t="s">
        <v>1320</v>
      </c>
    </row>
    <row r="312" spans="1:8">
      <c r="A312" s="40" t="s">
        <v>3</v>
      </c>
      <c r="B312" s="40" t="s">
        <v>1205</v>
      </c>
      <c r="C312" s="40" t="s">
        <v>1576</v>
      </c>
      <c r="D312" s="43">
        <v>167.2</v>
      </c>
      <c r="E312" s="43">
        <v>169.11666666666667</v>
      </c>
      <c r="F312" s="44">
        <v>1.0114633173843701</v>
      </c>
      <c r="G312" s="42" t="s">
        <v>1318</v>
      </c>
    </row>
    <row r="313" spans="1:8">
      <c r="A313" s="40" t="s">
        <v>3</v>
      </c>
      <c r="B313" s="40" t="s">
        <v>1205</v>
      </c>
      <c r="C313" s="40" t="s">
        <v>1577</v>
      </c>
      <c r="D313" s="43">
        <v>167.2</v>
      </c>
      <c r="E313" s="43">
        <v>185.96666666666667</v>
      </c>
      <c r="F313" s="44">
        <v>1.1122408293460926</v>
      </c>
      <c r="G313" s="42" t="s">
        <v>1318</v>
      </c>
    </row>
    <row r="314" spans="1:8">
      <c r="A314" s="40" t="s">
        <v>3</v>
      </c>
      <c r="B314" s="40" t="s">
        <v>1205</v>
      </c>
      <c r="C314" s="40" t="s">
        <v>1578</v>
      </c>
      <c r="D314" s="43">
        <v>167.2</v>
      </c>
      <c r="E314" s="43">
        <v>32.883333333333333</v>
      </c>
      <c r="F314" s="44">
        <v>0.19667065390749602</v>
      </c>
      <c r="G314" s="42" t="s">
        <v>1320</v>
      </c>
    </row>
    <row r="315" spans="1:8">
      <c r="A315" s="40" t="s">
        <v>3</v>
      </c>
      <c r="B315" s="40" t="s">
        <v>1205</v>
      </c>
      <c r="C315" s="40" t="s">
        <v>1222</v>
      </c>
      <c r="D315" s="43">
        <v>167.2</v>
      </c>
      <c r="E315" s="43">
        <v>154.56666666666666</v>
      </c>
      <c r="F315" s="44">
        <v>0.92444178628389162</v>
      </c>
      <c r="G315" s="42" t="s">
        <v>1321</v>
      </c>
    </row>
    <row r="316" spans="1:8">
      <c r="A316" s="40" t="s">
        <v>3</v>
      </c>
      <c r="B316" s="40" t="s">
        <v>1205</v>
      </c>
      <c r="C316" s="40" t="s">
        <v>1579</v>
      </c>
      <c r="D316" s="43">
        <v>167.2</v>
      </c>
      <c r="E316" s="43">
        <v>217.73333333333332</v>
      </c>
      <c r="F316" s="44">
        <v>1.3022328548644337</v>
      </c>
      <c r="G316" s="42" t="s">
        <v>1318</v>
      </c>
    </row>
    <row r="317" spans="1:8">
      <c r="A317" s="40" t="s">
        <v>3</v>
      </c>
      <c r="B317" s="40" t="s">
        <v>1205</v>
      </c>
      <c r="C317" s="40" t="s">
        <v>1580</v>
      </c>
      <c r="D317" s="43">
        <v>167.2</v>
      </c>
      <c r="E317" s="43">
        <v>289.81666666666666</v>
      </c>
      <c r="F317" s="44">
        <v>1.7333532695374803</v>
      </c>
      <c r="G317" s="42" t="s">
        <v>1318</v>
      </c>
    </row>
    <row r="318" spans="1:8">
      <c r="A318" s="40" t="s">
        <v>3</v>
      </c>
      <c r="B318" s="40" t="s">
        <v>1205</v>
      </c>
      <c r="C318" s="40" t="s">
        <v>1581</v>
      </c>
      <c r="D318" s="43">
        <v>167.2</v>
      </c>
      <c r="E318" s="43">
        <v>169.16666666666666</v>
      </c>
      <c r="F318" s="44">
        <v>1.0117623604465711</v>
      </c>
      <c r="G318" s="42" t="s">
        <v>1318</v>
      </c>
      <c r="H318" s="181"/>
    </row>
    <row r="319" spans="1:8">
      <c r="A319" s="40" t="s">
        <v>3</v>
      </c>
      <c r="B319" s="40" t="s">
        <v>1205</v>
      </c>
      <c r="C319" s="40" t="s">
        <v>1582</v>
      </c>
      <c r="D319" s="43">
        <v>167.2</v>
      </c>
      <c r="E319" s="43">
        <v>157.73333333333332</v>
      </c>
      <c r="F319" s="44">
        <v>0.94338118022328543</v>
      </c>
      <c r="G319" s="42" t="s">
        <v>1321</v>
      </c>
    </row>
    <row r="320" spans="1:8">
      <c r="A320" s="40" t="s">
        <v>3</v>
      </c>
      <c r="B320" s="40" t="s">
        <v>1205</v>
      </c>
      <c r="C320" s="40" t="s">
        <v>1588</v>
      </c>
      <c r="D320" s="43">
        <v>167.2</v>
      </c>
      <c r="E320" s="43">
        <v>132.21666666666667</v>
      </c>
      <c r="F320" s="44">
        <v>0.79076953748006384</v>
      </c>
      <c r="G320" s="42" t="s">
        <v>1320</v>
      </c>
    </row>
    <row r="321" spans="1:8">
      <c r="A321" s="40" t="s">
        <v>3</v>
      </c>
      <c r="B321" s="40" t="s">
        <v>1205</v>
      </c>
      <c r="C321" s="40" t="s">
        <v>1584</v>
      </c>
      <c r="D321" s="43">
        <v>167.2</v>
      </c>
      <c r="E321" s="43">
        <v>177.28333333333333</v>
      </c>
      <c r="F321" s="44">
        <v>1.0603070175438598</v>
      </c>
      <c r="G321" s="42" t="s">
        <v>1318</v>
      </c>
    </row>
    <row r="322" spans="1:8">
      <c r="A322" s="40" t="s">
        <v>3</v>
      </c>
      <c r="B322" s="40" t="s">
        <v>1205</v>
      </c>
      <c r="C322" s="40" t="s">
        <v>1585</v>
      </c>
      <c r="D322" s="43">
        <v>167.2</v>
      </c>
      <c r="E322" s="43">
        <v>202.3</v>
      </c>
      <c r="F322" s="44">
        <v>1.209928229665072</v>
      </c>
      <c r="G322" s="42" t="s">
        <v>1318</v>
      </c>
    </row>
    <row r="323" spans="1:8">
      <c r="A323" s="40" t="s">
        <v>3</v>
      </c>
      <c r="B323" s="40" t="s">
        <v>1205</v>
      </c>
      <c r="C323" s="40" t="s">
        <v>1586</v>
      </c>
      <c r="D323" s="43">
        <v>167.2</v>
      </c>
      <c r="E323" s="43">
        <v>255.88333333333333</v>
      </c>
      <c r="F323" s="44">
        <v>1.5304027113237639</v>
      </c>
      <c r="G323" s="42" t="s">
        <v>1318</v>
      </c>
    </row>
    <row r="324" spans="1:8">
      <c r="A324" s="40" t="s">
        <v>3</v>
      </c>
      <c r="B324" s="40" t="s">
        <v>1205</v>
      </c>
      <c r="C324" s="40" t="s">
        <v>1306</v>
      </c>
      <c r="D324" s="43">
        <v>83.6</v>
      </c>
      <c r="E324" s="43">
        <v>90.15</v>
      </c>
      <c r="F324" s="44">
        <v>1.0783492822966509</v>
      </c>
      <c r="G324" s="42" t="s">
        <v>1318</v>
      </c>
    </row>
    <row r="325" spans="1:8">
      <c r="A325" s="40" t="s">
        <v>3</v>
      </c>
      <c r="B325" s="40" t="s">
        <v>1205</v>
      </c>
      <c r="C325" s="40" t="s">
        <v>1587</v>
      </c>
      <c r="D325" s="43">
        <v>167.2</v>
      </c>
      <c r="E325" s="43">
        <v>185.2</v>
      </c>
      <c r="F325" s="44">
        <v>1.1076555023923444</v>
      </c>
      <c r="G325" s="42" t="s">
        <v>1318</v>
      </c>
      <c r="H325" s="183"/>
    </row>
  </sheetData>
  <conditionalFormatting sqref="G1:G2 G361:G1048576">
    <cfRule type="expression" dxfId="203" priority="53">
      <formula>"G1&gt;100"</formula>
    </cfRule>
  </conditionalFormatting>
  <conditionalFormatting sqref="G326:G360">
    <cfRule type="expression" dxfId="202" priority="49">
      <formula>$G326="Less load"</formula>
    </cfRule>
    <cfRule type="expression" dxfId="201" priority="50">
      <formula>$G326="Balanced"</formula>
    </cfRule>
    <cfRule type="expression" dxfId="200" priority="51">
      <formula>$G326="High load"</formula>
    </cfRule>
    <cfRule type="expression" dxfId="199" priority="52">
      <formula>$G326="Overload"</formula>
    </cfRule>
  </conditionalFormatting>
  <conditionalFormatting sqref="G361:G664">
    <cfRule type="expression" dxfId="198" priority="67">
      <formula>$G361="Low Load"</formula>
    </cfRule>
    <cfRule type="expression" dxfId="197" priority="68">
      <formula>$G361="Balanced"</formula>
    </cfRule>
    <cfRule type="expression" dxfId="196" priority="69">
      <formula>$G361="High Load"</formula>
    </cfRule>
    <cfRule type="expression" dxfId="195" priority="70">
      <formula>$G361="Overload"</formula>
    </cfRule>
  </conditionalFormatting>
  <conditionalFormatting sqref="G3:G38">
    <cfRule type="expression" dxfId="110" priority="13">
      <formula>$G3="Less load"</formula>
    </cfRule>
    <cfRule type="expression" dxfId="109" priority="14">
      <formula>$G3="Balanced"</formula>
    </cfRule>
    <cfRule type="expression" dxfId="108" priority="15">
      <formula>$G3="High load"</formula>
    </cfRule>
    <cfRule type="expression" dxfId="107" priority="16">
      <formula>$G3="Overload"</formula>
    </cfRule>
  </conditionalFormatting>
  <conditionalFormatting sqref="G39:G50">
    <cfRule type="expression" dxfId="70" priority="9">
      <formula>$G39="Less load"</formula>
    </cfRule>
    <cfRule type="expression" dxfId="69" priority="10">
      <formula>$G39="Balanced"</formula>
    </cfRule>
    <cfRule type="expression" dxfId="68" priority="11">
      <formula>$G39="High load"</formula>
    </cfRule>
    <cfRule type="expression" dxfId="67" priority="12">
      <formula>$G39="Overload"</formula>
    </cfRule>
  </conditionalFormatting>
  <conditionalFormatting sqref="G51:G257">
    <cfRule type="expression" dxfId="55" priority="5">
      <formula>$G51="Less load"</formula>
    </cfRule>
    <cfRule type="expression" dxfId="54" priority="6">
      <formula>$G51="Balanced"</formula>
    </cfRule>
    <cfRule type="expression" dxfId="53" priority="7">
      <formula>$G51="High load"</formula>
    </cfRule>
    <cfRule type="expression" dxfId="52" priority="8">
      <formula>$G51="Overload"</formula>
    </cfRule>
  </conditionalFormatting>
  <conditionalFormatting sqref="G258:G325">
    <cfRule type="expression" dxfId="31" priority="1">
      <formula>$G258="Less load"</formula>
    </cfRule>
    <cfRule type="expression" dxfId="30" priority="2">
      <formula>$G258="Balanced"</formula>
    </cfRule>
    <cfRule type="expression" dxfId="29" priority="3">
      <formula>$G258="High load"</formula>
    </cfRule>
    <cfRule type="expression" dxfId="28" priority="4">
      <formula>$G258="Overload"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1" sqref="A11:D14"/>
    </sheetView>
  </sheetViews>
  <sheetFormatPr defaultColWidth="8.7265625" defaultRowHeight="14.5"/>
  <cols>
    <col min="1" max="2" width="10.54296875" style="87" customWidth="1"/>
    <col min="3" max="3" width="21.1796875" style="106" customWidth="1"/>
    <col min="4" max="4" width="17.54296875" style="107" customWidth="1"/>
    <col min="5" max="16384" width="8.7265625" style="87"/>
  </cols>
  <sheetData>
    <row r="1" spans="1:4" ht="21" customHeight="1">
      <c r="A1" s="82" t="s">
        <v>1201</v>
      </c>
      <c r="B1" s="83"/>
      <c r="C1" s="102"/>
      <c r="D1" s="103"/>
    </row>
    <row r="2" spans="1:4" ht="31.5" customHeight="1">
      <c r="A2" s="36" t="s">
        <v>5</v>
      </c>
      <c r="B2" s="36" t="s">
        <v>6</v>
      </c>
      <c r="C2" s="104" t="s">
        <v>1216</v>
      </c>
      <c r="D2" s="105" t="s">
        <v>1233</v>
      </c>
    </row>
    <row r="3" spans="1:4">
      <c r="A3" s="40" t="s">
        <v>2</v>
      </c>
      <c r="B3" s="40" t="s">
        <v>1202</v>
      </c>
      <c r="C3" s="29">
        <v>79</v>
      </c>
      <c r="D3" s="29">
        <v>2523</v>
      </c>
    </row>
    <row r="4" spans="1:4">
      <c r="A4" s="40" t="s">
        <v>2</v>
      </c>
      <c r="B4" s="40" t="s">
        <v>1203</v>
      </c>
      <c r="C4" s="29">
        <v>78</v>
      </c>
      <c r="D4" s="29">
        <v>2504</v>
      </c>
    </row>
    <row r="5" spans="1:4">
      <c r="A5" s="40" t="s">
        <v>2</v>
      </c>
      <c r="B5" s="40" t="s">
        <v>1204</v>
      </c>
      <c r="C5" s="29">
        <v>79</v>
      </c>
      <c r="D5" s="29">
        <v>2755</v>
      </c>
    </row>
    <row r="6" spans="1:4">
      <c r="A6" s="40" t="s">
        <v>2</v>
      </c>
      <c r="B6" s="40" t="s">
        <v>1205</v>
      </c>
      <c r="C6" s="29">
        <v>74</v>
      </c>
      <c r="D6" s="29">
        <v>2931</v>
      </c>
    </row>
    <row r="7" spans="1:4">
      <c r="A7" s="40" t="s">
        <v>1</v>
      </c>
      <c r="B7" s="40" t="s">
        <v>1202</v>
      </c>
      <c r="C7" s="29">
        <v>90</v>
      </c>
      <c r="D7" s="29">
        <v>3000</v>
      </c>
    </row>
    <row r="8" spans="1:4">
      <c r="A8" s="40" t="s">
        <v>1</v>
      </c>
      <c r="B8" s="40" t="s">
        <v>1203</v>
      </c>
      <c r="C8" s="29">
        <v>85</v>
      </c>
      <c r="D8" s="29">
        <v>2900</v>
      </c>
    </row>
    <row r="9" spans="1:4">
      <c r="A9" s="40" t="s">
        <v>1</v>
      </c>
      <c r="B9" s="40" t="s">
        <v>1204</v>
      </c>
      <c r="C9" s="29">
        <v>96</v>
      </c>
      <c r="D9" s="29">
        <v>3200</v>
      </c>
    </row>
    <row r="10" spans="1:4">
      <c r="A10" s="40" t="s">
        <v>1</v>
      </c>
      <c r="B10" s="40" t="s">
        <v>1205</v>
      </c>
      <c r="C10" s="29">
        <v>92</v>
      </c>
      <c r="D10" s="29">
        <v>3100</v>
      </c>
    </row>
    <row r="11" spans="1:4">
      <c r="A11" s="40" t="s">
        <v>3</v>
      </c>
      <c r="B11" s="40" t="s">
        <v>1202</v>
      </c>
      <c r="C11" s="29">
        <v>126</v>
      </c>
      <c r="D11" s="29">
        <v>4366</v>
      </c>
    </row>
    <row r="12" spans="1:4">
      <c r="A12" s="40" t="s">
        <v>3</v>
      </c>
      <c r="B12" s="40" t="s">
        <v>1203</v>
      </c>
      <c r="C12" s="29">
        <v>128</v>
      </c>
      <c r="D12" s="29">
        <v>4540</v>
      </c>
    </row>
    <row r="13" spans="1:4">
      <c r="A13" s="40" t="s">
        <v>3</v>
      </c>
      <c r="B13" s="40" t="s">
        <v>1204</v>
      </c>
      <c r="C13" s="29">
        <v>120</v>
      </c>
      <c r="D13" s="29">
        <v>5175</v>
      </c>
    </row>
    <row r="14" spans="1:4">
      <c r="A14" s="40" t="s">
        <v>3</v>
      </c>
      <c r="B14" s="40" t="s">
        <v>1205</v>
      </c>
      <c r="C14" s="29">
        <v>131</v>
      </c>
      <c r="D14" s="29">
        <v>5197</v>
      </c>
    </row>
    <row r="15" spans="1:4">
      <c r="A15" s="40"/>
      <c r="B15" s="40"/>
      <c r="C15" s="29"/>
      <c r="D15" s="29"/>
    </row>
    <row r="16" spans="1:4">
      <c r="A16" s="40"/>
      <c r="B16" s="40"/>
      <c r="C16" s="29"/>
      <c r="D16" s="29"/>
    </row>
    <row r="17" spans="1:4">
      <c r="A17" s="40"/>
      <c r="B17" s="40"/>
      <c r="C17" s="29"/>
      <c r="D17" s="29"/>
    </row>
    <row r="18" spans="1:4">
      <c r="A18" s="40"/>
      <c r="B18" s="40"/>
      <c r="C18" s="29"/>
      <c r="D18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10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110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110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110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110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110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110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110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110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110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110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110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110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110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110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110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110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110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110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110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110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110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110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110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110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110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110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110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110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110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110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110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110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110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110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110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110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110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110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110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110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110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110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110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110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110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110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110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110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110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110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110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110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110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110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110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110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110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110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110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110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110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110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110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110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110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110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110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110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110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110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110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110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110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110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110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110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110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110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110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110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110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110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110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110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110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110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110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110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110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110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110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110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110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110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110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110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110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110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110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110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110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110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110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110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110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110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110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110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110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110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110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110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110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110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110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110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110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110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110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110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110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110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110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110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110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110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110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110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110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110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110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110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110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110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110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110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110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110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110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110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110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110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110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110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110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110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110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110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110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110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110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110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110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110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110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110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110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110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110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110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110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110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110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110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110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110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110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110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110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110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110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110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110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110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110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110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110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110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110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110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110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110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110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110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110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110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110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110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110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110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110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110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110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110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110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110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110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110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110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110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110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110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110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110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110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110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110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110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110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110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110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110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110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110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110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110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110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110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110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110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110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110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110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110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110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110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110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110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110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110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110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110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110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110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110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110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110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110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110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110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110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110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110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110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110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110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110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110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110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110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110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110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110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110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110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110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110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110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110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110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110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110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110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110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110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110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110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110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110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110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110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110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110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110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110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110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110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110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110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110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110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110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110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110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110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110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110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110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110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110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110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110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110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110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110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110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110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110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110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110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110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110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110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110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110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110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110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110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110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110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110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110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110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110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110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110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110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110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110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110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110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110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110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110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110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110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110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110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110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110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110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110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110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110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110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110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110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110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110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110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110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110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110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110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110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110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110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110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110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110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110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110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110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110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110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110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110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110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110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110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110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110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110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110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110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110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110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110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110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110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110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110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110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110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110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110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110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110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110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110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110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110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110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110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110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110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110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110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110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110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110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110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110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110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110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110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110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110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110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110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110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110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110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110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110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110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110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110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110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110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110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110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110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110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110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110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110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110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110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110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110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110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110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110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110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110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110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110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110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110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110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110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110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110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110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110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110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110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110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110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110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110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110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110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110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110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110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110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110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110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110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110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110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110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110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110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110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110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110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110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110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110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110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110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110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110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110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110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110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110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110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110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110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110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110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110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110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110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110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110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110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110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110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110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110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110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110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110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110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110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110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110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110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110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110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110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110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110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110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110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110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110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110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110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110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110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110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110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110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110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110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110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110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110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110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110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110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110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110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110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110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110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110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110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110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110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110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110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110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110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110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110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110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110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110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110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110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110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110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110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110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110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110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110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110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110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110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110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110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110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110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110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110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110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110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110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110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110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110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110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110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110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110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110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110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110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110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110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110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110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110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110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110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110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110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110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110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110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110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110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110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110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110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110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110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110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110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110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110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110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110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110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110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110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110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110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110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110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110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110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110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110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110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110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110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110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110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110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110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110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110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110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110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110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110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110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110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110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110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110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110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110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110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110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110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110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110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110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110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110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110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110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110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110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110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110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110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110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110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110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110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110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110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110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110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110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110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110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110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110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110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110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110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110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110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110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110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110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110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110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110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110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110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110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110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110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110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110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110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110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110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110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110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110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110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110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110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110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110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110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110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110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110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110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110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110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110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110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110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110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110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110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110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110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110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110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110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110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110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110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110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110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110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110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110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110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110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110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110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110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110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110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110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110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110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110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110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110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110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110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110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110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110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110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110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110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110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110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110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110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110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110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110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110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110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110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110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110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110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110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110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110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110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110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110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110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110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110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110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110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110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110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110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110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110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110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110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110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110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110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110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110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110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110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110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110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110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110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110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110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110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110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110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110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110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110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110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110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110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110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110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110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110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110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110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110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110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110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110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110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110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110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110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110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110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110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110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110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110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110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110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110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110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110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110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110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110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110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110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110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 filterMode="1"/>
  <dimension ref="A1:N114"/>
  <sheetViews>
    <sheetView zoomScale="85" zoomScaleNormal="85" workbookViewId="0">
      <pane xSplit="2" ySplit="2" topLeftCell="C19" activePane="bottomRight" state="frozen"/>
      <selection activeCell="I8" sqref="I8"/>
      <selection pane="topRight" activeCell="I8" sqref="I8"/>
      <selection pane="bottomLeft" activeCell="I8" sqref="I8"/>
      <selection pane="bottomRight" activeCell="A31" sqref="A31:N58"/>
    </sheetView>
  </sheetViews>
  <sheetFormatPr defaultColWidth="8.7265625" defaultRowHeight="14.5"/>
  <cols>
    <col min="1" max="2" width="8.7265625" style="87"/>
    <col min="3" max="4" width="10.1796875" style="87" customWidth="1"/>
    <col min="5" max="5" width="13.1796875" style="87" customWidth="1"/>
    <col min="6" max="6" width="10.1796875" style="87" customWidth="1"/>
    <col min="7" max="7" width="10.54296875" style="87" customWidth="1"/>
    <col min="8" max="8" width="14.1796875" style="87" customWidth="1"/>
    <col min="9" max="9" width="13.81640625" style="87" customWidth="1"/>
    <col min="10" max="10" width="10.1796875" style="87" customWidth="1"/>
    <col min="11" max="11" width="15.453125" style="87" customWidth="1"/>
    <col min="12" max="12" width="11.7265625" style="87" customWidth="1"/>
    <col min="13" max="13" width="14" style="101" customWidth="1"/>
    <col min="14" max="14" width="14.7265625" style="87" customWidth="1"/>
    <col min="15" max="16384" width="8.7265625" style="87"/>
  </cols>
  <sheetData>
    <row r="1" spans="1:14" ht="28" customHeight="1">
      <c r="A1" s="88" t="s">
        <v>1197</v>
      </c>
      <c r="B1" s="84"/>
      <c r="C1" s="84"/>
      <c r="D1" s="64"/>
      <c r="E1" s="64"/>
      <c r="F1" s="84"/>
      <c r="G1" s="84"/>
      <c r="H1" s="84"/>
      <c r="I1" s="84"/>
      <c r="J1" s="84"/>
      <c r="K1" s="84"/>
      <c r="L1" s="84"/>
      <c r="M1" s="89"/>
      <c r="N1" s="84"/>
    </row>
    <row r="2" spans="1:14" s="92" customFormat="1" ht="52" customHeight="1">
      <c r="A2" s="90" t="s">
        <v>5</v>
      </c>
      <c r="B2" s="90" t="s">
        <v>6</v>
      </c>
      <c r="C2" s="90" t="s">
        <v>9</v>
      </c>
      <c r="D2" s="90" t="s">
        <v>1238</v>
      </c>
      <c r="E2" s="90" t="s">
        <v>1243</v>
      </c>
      <c r="F2" s="90" t="s">
        <v>1239</v>
      </c>
      <c r="G2" s="90" t="s">
        <v>1242</v>
      </c>
      <c r="H2" s="90" t="s">
        <v>1240</v>
      </c>
      <c r="I2" s="90" t="s">
        <v>1241</v>
      </c>
      <c r="J2" s="90" t="s">
        <v>1244</v>
      </c>
      <c r="K2" s="90" t="s">
        <v>1245</v>
      </c>
      <c r="L2" s="90" t="s">
        <v>1246</v>
      </c>
      <c r="M2" s="91" t="s">
        <v>1200</v>
      </c>
      <c r="N2" s="91" t="s">
        <v>1254</v>
      </c>
    </row>
    <row r="3" spans="1:14" ht="20.5" customHeight="1">
      <c r="A3" s="39" t="s">
        <v>2</v>
      </c>
      <c r="B3" s="40" t="s">
        <v>1202</v>
      </c>
      <c r="C3" s="124" t="s">
        <v>1248</v>
      </c>
      <c r="D3" s="39">
        <v>288</v>
      </c>
      <c r="E3" s="127">
        <v>7200</v>
      </c>
      <c r="F3" s="39"/>
      <c r="G3" s="39"/>
      <c r="H3" s="127">
        <v>58</v>
      </c>
      <c r="I3" s="127">
        <v>580</v>
      </c>
      <c r="J3" s="39">
        <v>9</v>
      </c>
      <c r="K3" s="39">
        <v>45</v>
      </c>
      <c r="L3" s="114">
        <v>7825</v>
      </c>
      <c r="M3" s="115">
        <v>6.9630446969629556E-2</v>
      </c>
      <c r="N3" s="98">
        <v>0.76593491666592506</v>
      </c>
    </row>
    <row r="4" spans="1:14" ht="20.5" customHeight="1">
      <c r="A4" s="39" t="s">
        <v>2</v>
      </c>
      <c r="B4" s="40" t="s">
        <v>1202</v>
      </c>
      <c r="C4" s="124" t="s">
        <v>1247</v>
      </c>
      <c r="D4" s="39">
        <v>290</v>
      </c>
      <c r="E4" s="127">
        <v>5510</v>
      </c>
      <c r="F4" s="39"/>
      <c r="G4" s="39"/>
      <c r="H4" s="127">
        <v>69</v>
      </c>
      <c r="I4" s="127">
        <v>525</v>
      </c>
      <c r="J4" s="39">
        <v>8</v>
      </c>
      <c r="K4" s="39">
        <v>65</v>
      </c>
      <c r="L4" s="114">
        <v>6100</v>
      </c>
      <c r="M4" s="115">
        <v>5.428060402744285E-2</v>
      </c>
      <c r="N4" s="98">
        <v>0.59708664430187131</v>
      </c>
    </row>
    <row r="5" spans="1:14" ht="20.5" customHeight="1">
      <c r="A5" s="39" t="s">
        <v>2</v>
      </c>
      <c r="B5" s="40" t="s">
        <v>1202</v>
      </c>
      <c r="C5" s="124" t="s">
        <v>1250</v>
      </c>
      <c r="D5" s="39">
        <v>246</v>
      </c>
      <c r="E5" s="127">
        <v>6642</v>
      </c>
      <c r="F5" s="39"/>
      <c r="G5" s="39"/>
      <c r="H5" s="127">
        <v>262</v>
      </c>
      <c r="I5" s="127">
        <v>2716</v>
      </c>
      <c r="J5" s="39">
        <v>41</v>
      </c>
      <c r="K5" s="39">
        <v>205</v>
      </c>
      <c r="L5" s="114">
        <v>9563</v>
      </c>
      <c r="M5" s="115">
        <v>8.5095969887612449E-2</v>
      </c>
      <c r="N5" s="98">
        <v>0.93605566876373691</v>
      </c>
    </row>
    <row r="6" spans="1:14" ht="20.5" customHeight="1">
      <c r="A6" s="39" t="s">
        <v>2</v>
      </c>
      <c r="B6" s="40" t="s">
        <v>1202</v>
      </c>
      <c r="C6" s="124" t="s">
        <v>1249</v>
      </c>
      <c r="D6" s="39">
        <v>134</v>
      </c>
      <c r="E6" s="127">
        <v>2546</v>
      </c>
      <c r="F6" s="39">
        <v>1</v>
      </c>
      <c r="G6" s="39">
        <v>10</v>
      </c>
      <c r="H6" s="127">
        <v>61</v>
      </c>
      <c r="I6" s="127">
        <v>325</v>
      </c>
      <c r="J6" s="39">
        <v>27</v>
      </c>
      <c r="K6" s="39">
        <v>160</v>
      </c>
      <c r="L6" s="114">
        <v>3041</v>
      </c>
      <c r="M6" s="115">
        <v>2.7060215876631755E-2</v>
      </c>
      <c r="N6" s="98">
        <v>0.29766237464294931</v>
      </c>
    </row>
    <row r="7" spans="1:14" ht="20.5" customHeight="1">
      <c r="A7" s="39" t="s">
        <v>2</v>
      </c>
      <c r="B7" s="40" t="s">
        <v>1202</v>
      </c>
      <c r="C7" s="124" t="s">
        <v>1251</v>
      </c>
      <c r="D7" s="39">
        <v>1959</v>
      </c>
      <c r="E7" s="127">
        <v>33303</v>
      </c>
      <c r="F7" s="39">
        <v>123</v>
      </c>
      <c r="G7" s="39">
        <v>1230</v>
      </c>
      <c r="H7" s="127">
        <v>1353</v>
      </c>
      <c r="I7" s="127">
        <v>-4450</v>
      </c>
      <c r="J7" s="39">
        <v>1</v>
      </c>
      <c r="K7" s="39">
        <v>5</v>
      </c>
      <c r="L7" s="114">
        <v>30088</v>
      </c>
      <c r="M7" s="115">
        <v>0.26773685475044268</v>
      </c>
      <c r="N7" s="98">
        <v>2.9451054022548693</v>
      </c>
    </row>
    <row r="8" spans="1:14" ht="20.5" customHeight="1">
      <c r="A8" s="39" t="s">
        <v>2</v>
      </c>
      <c r="B8" s="40" t="s">
        <v>1202</v>
      </c>
      <c r="C8" s="124" t="s">
        <v>1252</v>
      </c>
      <c r="D8" s="39">
        <v>1589</v>
      </c>
      <c r="E8" s="127">
        <v>47822</v>
      </c>
      <c r="F8" s="39"/>
      <c r="G8" s="39"/>
      <c r="H8" s="127">
        <v>560</v>
      </c>
      <c r="I8" s="127">
        <v>5520</v>
      </c>
      <c r="J8" s="39">
        <v>3</v>
      </c>
      <c r="K8" s="39">
        <v>40</v>
      </c>
      <c r="L8" s="114">
        <v>53382</v>
      </c>
      <c r="M8" s="115">
        <v>0.47501757445786136</v>
      </c>
      <c r="N8" s="98">
        <v>5.2251933190364745</v>
      </c>
    </row>
    <row r="9" spans="1:14" ht="20.5" customHeight="1">
      <c r="A9" s="39" t="s">
        <v>2</v>
      </c>
      <c r="B9" s="40" t="s">
        <v>1202</v>
      </c>
      <c r="C9" s="124" t="s">
        <v>1253</v>
      </c>
      <c r="D9" s="39">
        <v>170</v>
      </c>
      <c r="E9" s="127">
        <v>2380</v>
      </c>
      <c r="F9" s="39"/>
      <c r="G9" s="39"/>
      <c r="H9" s="39">
        <v>0</v>
      </c>
      <c r="I9" s="39">
        <v>0</v>
      </c>
      <c r="J9" s="39">
        <v>0</v>
      </c>
      <c r="K9" s="39">
        <v>0</v>
      </c>
      <c r="L9" s="114">
        <v>2380</v>
      </c>
      <c r="M9" s="115">
        <v>2.1178334030379341E-2</v>
      </c>
      <c r="N9" s="98">
        <v>0.23296167433417275</v>
      </c>
    </row>
    <row r="10" spans="1:14" ht="20.5" customHeight="1">
      <c r="A10" s="39" t="s">
        <v>2</v>
      </c>
      <c r="B10" s="40" t="s">
        <v>1203</v>
      </c>
      <c r="C10" s="124" t="s">
        <v>1248</v>
      </c>
      <c r="D10" s="39">
        <v>271</v>
      </c>
      <c r="E10" s="127">
        <v>6775</v>
      </c>
      <c r="F10" s="39"/>
      <c r="G10" s="39"/>
      <c r="H10" s="39">
        <v>71</v>
      </c>
      <c r="I10" s="39">
        <v>710</v>
      </c>
      <c r="J10" s="39">
        <v>4</v>
      </c>
      <c r="K10" s="39">
        <v>20</v>
      </c>
      <c r="L10" s="114">
        <v>7505</v>
      </c>
      <c r="M10" s="115">
        <v>7.2330377794911332E-2</v>
      </c>
      <c r="N10" s="98">
        <v>0.79563415574402463</v>
      </c>
    </row>
    <row r="11" spans="1:14" ht="20.5" customHeight="1">
      <c r="A11" s="39" t="s">
        <v>2</v>
      </c>
      <c r="B11" s="40" t="s">
        <v>1203</v>
      </c>
      <c r="C11" s="124" t="s">
        <v>1247</v>
      </c>
      <c r="D11" s="39">
        <v>211</v>
      </c>
      <c r="E11" s="127">
        <v>4009</v>
      </c>
      <c r="F11" s="39"/>
      <c r="G11" s="39"/>
      <c r="H11" s="39">
        <v>79</v>
      </c>
      <c r="I11" s="39">
        <v>605</v>
      </c>
      <c r="J11" s="39">
        <v>14</v>
      </c>
      <c r="K11" s="39">
        <v>95</v>
      </c>
      <c r="L11" s="114">
        <v>4709</v>
      </c>
      <c r="M11" s="115">
        <v>4.5383577486507322E-2</v>
      </c>
      <c r="N11" s="98">
        <v>0.49921935235158055</v>
      </c>
    </row>
    <row r="12" spans="1:14" ht="20.5" customHeight="1">
      <c r="A12" s="39" t="s">
        <v>2</v>
      </c>
      <c r="B12" s="40" t="s">
        <v>1203</v>
      </c>
      <c r="C12" s="124" t="s">
        <v>1250</v>
      </c>
      <c r="D12" s="39">
        <v>208</v>
      </c>
      <c r="E12" s="127">
        <v>5616</v>
      </c>
      <c r="F12" s="39"/>
      <c r="G12" s="39"/>
      <c r="H12" s="39">
        <v>302</v>
      </c>
      <c r="I12" s="39">
        <v>3124</v>
      </c>
      <c r="J12" s="39">
        <v>46</v>
      </c>
      <c r="K12" s="39">
        <v>255</v>
      </c>
      <c r="L12" s="114">
        <v>8995</v>
      </c>
      <c r="M12" s="115">
        <v>8.6690439475713185E-2</v>
      </c>
      <c r="N12" s="98">
        <v>0.95359483423284508</v>
      </c>
    </row>
    <row r="13" spans="1:14" ht="20.5" customHeight="1">
      <c r="A13" s="39" t="s">
        <v>2</v>
      </c>
      <c r="B13" s="40" t="s">
        <v>1203</v>
      </c>
      <c r="C13" s="124" t="s">
        <v>1249</v>
      </c>
      <c r="D13" s="39">
        <v>129</v>
      </c>
      <c r="E13" s="127">
        <v>2451</v>
      </c>
      <c r="F13" s="39"/>
      <c r="G13" s="39"/>
      <c r="H13" s="39">
        <v>53</v>
      </c>
      <c r="I13" s="39">
        <v>300</v>
      </c>
      <c r="J13" s="39">
        <v>29</v>
      </c>
      <c r="K13" s="39">
        <v>145</v>
      </c>
      <c r="L13" s="114">
        <v>2896</v>
      </c>
      <c r="M13" s="115">
        <v>2.7910562837316886E-2</v>
      </c>
      <c r="N13" s="98">
        <v>0.30701619121048573</v>
      </c>
    </row>
    <row r="14" spans="1:14" ht="20.5" customHeight="1">
      <c r="A14" s="39" t="s">
        <v>2</v>
      </c>
      <c r="B14" s="40" t="s">
        <v>1203</v>
      </c>
      <c r="C14" s="124" t="s">
        <v>1251</v>
      </c>
      <c r="D14" s="39">
        <v>1978</v>
      </c>
      <c r="E14" s="127">
        <v>33626</v>
      </c>
      <c r="F14" s="39">
        <v>92</v>
      </c>
      <c r="G14" s="39">
        <v>920</v>
      </c>
      <c r="H14" s="39">
        <v>1405</v>
      </c>
      <c r="I14" s="39">
        <v>-4530</v>
      </c>
      <c r="J14" s="39">
        <v>3</v>
      </c>
      <c r="K14" s="39">
        <v>40</v>
      </c>
      <c r="L14" s="114">
        <v>30056</v>
      </c>
      <c r="M14" s="115">
        <v>0.28966846569005394</v>
      </c>
      <c r="N14" s="98">
        <v>3.1863531225905932</v>
      </c>
    </row>
    <row r="15" spans="1:14" ht="20.5" customHeight="1">
      <c r="A15" s="39" t="s">
        <v>2</v>
      </c>
      <c r="B15" s="40" t="s">
        <v>1203</v>
      </c>
      <c r="C15" s="124" t="s">
        <v>1252</v>
      </c>
      <c r="D15" s="39">
        <v>1413</v>
      </c>
      <c r="E15" s="127">
        <v>41179</v>
      </c>
      <c r="F15" s="39"/>
      <c r="G15" s="39"/>
      <c r="H15" s="39">
        <v>587</v>
      </c>
      <c r="I15" s="39">
        <v>5800</v>
      </c>
      <c r="J15" s="39">
        <v>11</v>
      </c>
      <c r="K15" s="39">
        <v>170</v>
      </c>
      <c r="L15" s="114">
        <v>47149</v>
      </c>
      <c r="M15" s="115">
        <v>0.45440439475713185</v>
      </c>
      <c r="N15" s="98">
        <v>4.9984483423284507</v>
      </c>
    </row>
    <row r="16" spans="1:14" ht="20.5" customHeight="1">
      <c r="A16" s="39" t="s">
        <v>2</v>
      </c>
      <c r="B16" s="40" t="s">
        <v>1203</v>
      </c>
      <c r="C16" s="124" t="s">
        <v>1253</v>
      </c>
      <c r="D16" s="39">
        <v>175</v>
      </c>
      <c r="E16" s="127">
        <v>2450</v>
      </c>
      <c r="F16" s="39"/>
      <c r="G16" s="39"/>
      <c r="H16" s="39">
        <v>0</v>
      </c>
      <c r="I16" s="39">
        <v>0</v>
      </c>
      <c r="J16" s="39">
        <v>0</v>
      </c>
      <c r="K16" s="39">
        <v>0</v>
      </c>
      <c r="L16" s="114">
        <v>2450</v>
      </c>
      <c r="M16" s="115">
        <v>2.3612181958365459E-2</v>
      </c>
      <c r="N16" s="98">
        <v>0.25973400154202003</v>
      </c>
    </row>
    <row r="17" spans="1:14" ht="20.5" customHeight="1">
      <c r="A17" s="39" t="s">
        <v>2</v>
      </c>
      <c r="B17" s="40" t="s">
        <v>1204</v>
      </c>
      <c r="C17" s="124" t="s">
        <v>1248</v>
      </c>
      <c r="D17" s="39">
        <v>408</v>
      </c>
      <c r="E17" s="109">
        <v>10200</v>
      </c>
      <c r="F17" s="39"/>
      <c r="G17" s="39"/>
      <c r="H17" s="39">
        <v>89</v>
      </c>
      <c r="I17" s="39">
        <v>890</v>
      </c>
      <c r="J17" s="39">
        <v>13</v>
      </c>
      <c r="K17" s="39">
        <v>165</v>
      </c>
      <c r="L17" s="114">
        <v>11255</v>
      </c>
      <c r="M17" s="115">
        <v>9.6659223634489866E-2</v>
      </c>
      <c r="N17" s="98">
        <v>1.0632514599793885</v>
      </c>
    </row>
    <row r="18" spans="1:14" ht="20.5" customHeight="1">
      <c r="A18" s="39" t="s">
        <v>2</v>
      </c>
      <c r="B18" s="40" t="s">
        <v>1204</v>
      </c>
      <c r="C18" s="124" t="s">
        <v>1247</v>
      </c>
      <c r="D18" s="39">
        <v>239</v>
      </c>
      <c r="E18" s="109">
        <v>4541</v>
      </c>
      <c r="F18" s="39"/>
      <c r="G18" s="39"/>
      <c r="H18" s="39">
        <v>85</v>
      </c>
      <c r="I18" s="39">
        <v>595</v>
      </c>
      <c r="J18" s="39">
        <v>6</v>
      </c>
      <c r="K18" s="39">
        <v>90</v>
      </c>
      <c r="L18" s="114">
        <v>5226</v>
      </c>
      <c r="M18" s="115">
        <v>4.4881484026107865E-2</v>
      </c>
      <c r="N18" s="98">
        <v>0.49369632428718652</v>
      </c>
    </row>
    <row r="19" spans="1:14" ht="20.5" customHeight="1">
      <c r="A19" s="39" t="s">
        <v>2</v>
      </c>
      <c r="B19" s="40" t="s">
        <v>1204</v>
      </c>
      <c r="C19" s="124" t="s">
        <v>1250</v>
      </c>
      <c r="D19" s="39">
        <v>215</v>
      </c>
      <c r="E19" s="109">
        <v>5805</v>
      </c>
      <c r="F19" s="39"/>
      <c r="G19" s="39"/>
      <c r="H19" s="39">
        <v>250</v>
      </c>
      <c r="I19" s="39">
        <v>2572</v>
      </c>
      <c r="J19" s="39">
        <v>39</v>
      </c>
      <c r="K19" s="39">
        <v>220</v>
      </c>
      <c r="L19" s="114">
        <v>8597</v>
      </c>
      <c r="M19" s="115">
        <v>7.3832016489178975E-2</v>
      </c>
      <c r="N19" s="98">
        <v>0.81215218138096867</v>
      </c>
    </row>
    <row r="20" spans="1:14" ht="20.5" customHeight="1">
      <c r="A20" s="39" t="s">
        <v>2</v>
      </c>
      <c r="B20" s="40" t="s">
        <v>1204</v>
      </c>
      <c r="C20" s="124" t="s">
        <v>1249</v>
      </c>
      <c r="D20" s="39">
        <v>141</v>
      </c>
      <c r="E20" s="109">
        <v>2679</v>
      </c>
      <c r="F20" s="39"/>
      <c r="G20" s="39"/>
      <c r="H20" s="39">
        <v>66</v>
      </c>
      <c r="I20" s="39">
        <v>350</v>
      </c>
      <c r="J20" s="39">
        <v>15</v>
      </c>
      <c r="K20" s="39">
        <v>75</v>
      </c>
      <c r="L20" s="114">
        <v>3104</v>
      </c>
      <c r="M20" s="115">
        <v>2.6657506011679835E-2</v>
      </c>
      <c r="N20" s="98">
        <v>0.2932325661284782</v>
      </c>
    </row>
    <row r="21" spans="1:14" ht="20.5" customHeight="1">
      <c r="A21" s="39" t="s">
        <v>2</v>
      </c>
      <c r="B21" s="40" t="s">
        <v>1204</v>
      </c>
      <c r="C21" s="124" t="s">
        <v>1251</v>
      </c>
      <c r="D21" s="39">
        <v>2174</v>
      </c>
      <c r="E21" s="109">
        <v>37009</v>
      </c>
      <c r="F21" s="39">
        <v>86</v>
      </c>
      <c r="G21" s="39">
        <v>860</v>
      </c>
      <c r="H21" s="39">
        <v>1478</v>
      </c>
      <c r="I21" s="39">
        <v>-4840</v>
      </c>
      <c r="J21" s="39">
        <v>2</v>
      </c>
      <c r="K21" s="39">
        <v>10</v>
      </c>
      <c r="L21" s="114">
        <v>33039</v>
      </c>
      <c r="M21" s="115">
        <v>0.28374270010305735</v>
      </c>
      <c r="N21" s="98">
        <v>3.1211697011336308</v>
      </c>
    </row>
    <row r="22" spans="1:14" ht="20.5" customHeight="1">
      <c r="A22" s="39" t="s">
        <v>2</v>
      </c>
      <c r="B22" s="40" t="s">
        <v>1204</v>
      </c>
      <c r="C22" s="124" t="s">
        <v>1252</v>
      </c>
      <c r="D22" s="39">
        <v>1619</v>
      </c>
      <c r="E22" s="109">
        <v>47159</v>
      </c>
      <c r="F22" s="39"/>
      <c r="G22" s="39"/>
      <c r="H22" s="39">
        <v>504</v>
      </c>
      <c r="I22" s="39">
        <v>5195</v>
      </c>
      <c r="J22" s="39">
        <v>3</v>
      </c>
      <c r="K22" s="39">
        <v>65</v>
      </c>
      <c r="L22" s="114">
        <v>52419</v>
      </c>
      <c r="M22" s="115">
        <v>0.45018035039505322</v>
      </c>
      <c r="N22" s="98">
        <v>4.9519838543455856</v>
      </c>
    </row>
    <row r="23" spans="1:14" ht="20.5" customHeight="1">
      <c r="A23" s="39" t="s">
        <v>2</v>
      </c>
      <c r="B23" s="40" t="s">
        <v>1204</v>
      </c>
      <c r="C23" s="124" t="s">
        <v>1253</v>
      </c>
      <c r="D23" s="39">
        <v>200</v>
      </c>
      <c r="E23" s="109">
        <v>2800</v>
      </c>
      <c r="F23" s="39"/>
      <c r="G23" s="39"/>
      <c r="H23" s="39">
        <v>0</v>
      </c>
      <c r="I23" s="39">
        <v>0</v>
      </c>
      <c r="J23" s="39">
        <v>0</v>
      </c>
      <c r="K23" s="39">
        <v>0</v>
      </c>
      <c r="L23" s="114">
        <v>2800</v>
      </c>
      <c r="M23" s="115">
        <v>2.4046719340432839E-2</v>
      </c>
      <c r="N23" s="98">
        <v>0.26451391274476121</v>
      </c>
    </row>
    <row r="24" spans="1:14" ht="20.5" customHeight="1">
      <c r="A24" s="39" t="s">
        <v>2</v>
      </c>
      <c r="B24" s="40" t="s">
        <v>1205</v>
      </c>
      <c r="C24" s="124" t="s">
        <v>1248</v>
      </c>
      <c r="D24" s="39">
        <v>390</v>
      </c>
      <c r="E24" s="127">
        <v>9750</v>
      </c>
      <c r="F24" s="39"/>
      <c r="G24" s="39"/>
      <c r="H24" s="39">
        <v>70</v>
      </c>
      <c r="I24" s="39">
        <v>700</v>
      </c>
      <c r="J24" s="39">
        <v>17</v>
      </c>
      <c r="K24" s="39">
        <v>165</v>
      </c>
      <c r="L24" s="114">
        <v>10615</v>
      </c>
      <c r="M24" s="115">
        <v>8.9582594899319801E-2</v>
      </c>
      <c r="N24" s="98">
        <v>0.98540854389251775</v>
      </c>
    </row>
    <row r="25" spans="1:14" ht="20.5" customHeight="1">
      <c r="A25" s="39" t="s">
        <v>2</v>
      </c>
      <c r="B25" s="40" t="s">
        <v>1205</v>
      </c>
      <c r="C25" s="124" t="s">
        <v>1247</v>
      </c>
      <c r="D25" s="39">
        <v>252</v>
      </c>
      <c r="E25" s="127">
        <v>4788</v>
      </c>
      <c r="F25" s="39"/>
      <c r="G25" s="39"/>
      <c r="H25" s="39">
        <v>83</v>
      </c>
      <c r="I25" s="39">
        <v>550</v>
      </c>
      <c r="J25" s="39">
        <v>8</v>
      </c>
      <c r="K25" s="39">
        <v>155</v>
      </c>
      <c r="L25" s="114">
        <v>5493</v>
      </c>
      <c r="M25" s="115">
        <v>4.6356777558357383E-2</v>
      </c>
      <c r="N25" s="98">
        <v>0.50992455314193119</v>
      </c>
    </row>
    <row r="26" spans="1:14" ht="20.5" customHeight="1">
      <c r="A26" s="39" t="s">
        <v>2</v>
      </c>
      <c r="B26" s="40" t="s">
        <v>1205</v>
      </c>
      <c r="C26" s="124" t="s">
        <v>1250</v>
      </c>
      <c r="D26" s="39">
        <v>177</v>
      </c>
      <c r="E26" s="127">
        <v>4779</v>
      </c>
      <c r="F26" s="39"/>
      <c r="G26" s="39"/>
      <c r="H26" s="39">
        <v>308</v>
      </c>
      <c r="I26" s="39">
        <v>3174</v>
      </c>
      <c r="J26" s="39">
        <v>32</v>
      </c>
      <c r="K26" s="39">
        <v>160</v>
      </c>
      <c r="L26" s="114">
        <v>8113</v>
      </c>
      <c r="M26" s="115">
        <v>6.8467601735108949E-2</v>
      </c>
      <c r="N26" s="98">
        <v>0.75314361908619842</v>
      </c>
    </row>
    <row r="27" spans="1:14" ht="20.5" customHeight="1">
      <c r="A27" s="39" t="s">
        <v>2</v>
      </c>
      <c r="B27" s="40" t="s">
        <v>1205</v>
      </c>
      <c r="C27" s="124" t="s">
        <v>1249</v>
      </c>
      <c r="D27" s="39">
        <v>138</v>
      </c>
      <c r="E27" s="127">
        <v>2622</v>
      </c>
      <c r="F27" s="39">
        <v>1</v>
      </c>
      <c r="G27" s="39">
        <v>10</v>
      </c>
      <c r="H27" s="39">
        <v>56</v>
      </c>
      <c r="I27" s="39">
        <v>310</v>
      </c>
      <c r="J27" s="39">
        <v>6</v>
      </c>
      <c r="K27" s="39">
        <v>70</v>
      </c>
      <c r="L27" s="114">
        <v>3012</v>
      </c>
      <c r="M27" s="115">
        <v>2.541900855739531E-2</v>
      </c>
      <c r="N27" s="98">
        <v>0.27960909413134843</v>
      </c>
    </row>
    <row r="28" spans="1:14" ht="20.5" customHeight="1">
      <c r="A28" s="39" t="s">
        <v>2</v>
      </c>
      <c r="B28" s="40" t="s">
        <v>1205</v>
      </c>
      <c r="C28" s="124" t="s">
        <v>1251</v>
      </c>
      <c r="D28" s="39">
        <v>2356</v>
      </c>
      <c r="E28" s="127">
        <v>40052</v>
      </c>
      <c r="F28" s="39">
        <v>105</v>
      </c>
      <c r="G28" s="39">
        <v>1050</v>
      </c>
      <c r="H28" s="39">
        <v>1692</v>
      </c>
      <c r="I28" s="39">
        <v>-5845</v>
      </c>
      <c r="J28" s="39">
        <v>0</v>
      </c>
      <c r="K28" s="39">
        <v>0</v>
      </c>
      <c r="L28" s="114">
        <v>35257</v>
      </c>
      <c r="M28" s="115">
        <v>0.29754249160295038</v>
      </c>
      <c r="N28" s="98">
        <v>3.272967407632454</v>
      </c>
    </row>
    <row r="29" spans="1:14" ht="20.5" customHeight="1">
      <c r="A29" s="39" t="s">
        <v>2</v>
      </c>
      <c r="B29" s="40" t="s">
        <v>1205</v>
      </c>
      <c r="C29" s="124" t="s">
        <v>1252</v>
      </c>
      <c r="D29" s="39">
        <v>1627</v>
      </c>
      <c r="E29" s="127">
        <v>47352</v>
      </c>
      <c r="F29" s="39"/>
      <c r="G29" s="39"/>
      <c r="H29" s="39">
        <v>531</v>
      </c>
      <c r="I29" s="39">
        <v>5860</v>
      </c>
      <c r="J29" s="39">
        <v>2</v>
      </c>
      <c r="K29" s="39">
        <v>20</v>
      </c>
      <c r="L29" s="114">
        <v>53232</v>
      </c>
      <c r="M29" s="115">
        <v>0.44923793609803025</v>
      </c>
      <c r="N29" s="98">
        <v>4.9416172970783325</v>
      </c>
    </row>
    <row r="30" spans="1:14" ht="20.5" customHeight="1">
      <c r="A30" s="39" t="s">
        <v>2</v>
      </c>
      <c r="B30" s="40" t="s">
        <v>1205</v>
      </c>
      <c r="C30" s="124" t="s">
        <v>1253</v>
      </c>
      <c r="D30" s="39">
        <v>198</v>
      </c>
      <c r="E30" s="127">
        <v>2772</v>
      </c>
      <c r="F30" s="39"/>
      <c r="G30" s="39"/>
      <c r="H30" s="39"/>
      <c r="I30" s="39"/>
      <c r="J30" s="39">
        <v>0</v>
      </c>
      <c r="K30" s="39">
        <v>0</v>
      </c>
      <c r="L30" s="114">
        <v>2772</v>
      </c>
      <c r="M30" s="115">
        <v>2.3393589548837915E-2</v>
      </c>
      <c r="N30" s="98">
        <v>0.25732948503721709</v>
      </c>
    </row>
    <row r="31" spans="1:14" hidden="1">
      <c r="A31" s="39" t="s">
        <v>3</v>
      </c>
      <c r="B31" s="39" t="s">
        <v>1202</v>
      </c>
      <c r="C31" s="94" t="s">
        <v>1248</v>
      </c>
      <c r="D31" s="95">
        <v>175</v>
      </c>
      <c r="E31" s="95">
        <v>4375</v>
      </c>
      <c r="F31" s="184"/>
      <c r="G31" s="184"/>
      <c r="H31" s="184">
        <v>94</v>
      </c>
      <c r="I31" s="184">
        <v>805</v>
      </c>
      <c r="J31" s="184">
        <v>7</v>
      </c>
      <c r="K31" s="184">
        <v>185</v>
      </c>
      <c r="L31" s="114">
        <v>5365</v>
      </c>
      <c r="M31" s="115">
        <v>3.5614474147144533E-2</v>
      </c>
      <c r="N31" s="98">
        <v>0.39175921561858984</v>
      </c>
    </row>
    <row r="32" spans="1:14" hidden="1">
      <c r="A32" s="39" t="s">
        <v>3</v>
      </c>
      <c r="B32" s="39" t="s">
        <v>1202</v>
      </c>
      <c r="C32" s="94" t="s">
        <v>1247</v>
      </c>
      <c r="D32" s="95">
        <v>61</v>
      </c>
      <c r="E32" s="95">
        <v>1159</v>
      </c>
      <c r="F32" s="184"/>
      <c r="G32" s="184"/>
      <c r="H32" s="184">
        <v>32</v>
      </c>
      <c r="I32" s="184">
        <v>280</v>
      </c>
      <c r="J32" s="184"/>
      <c r="K32" s="184"/>
      <c r="L32" s="114">
        <v>1439</v>
      </c>
      <c r="M32" s="115">
        <v>9.5525122642574067E-3</v>
      </c>
      <c r="N32" s="98">
        <v>0.10507763490683147</v>
      </c>
    </row>
    <row r="33" spans="1:14" hidden="1">
      <c r="A33" s="39" t="s">
        <v>3</v>
      </c>
      <c r="B33" s="39" t="s">
        <v>1202</v>
      </c>
      <c r="C33" s="94" t="s">
        <v>1250</v>
      </c>
      <c r="D33" s="95">
        <v>107</v>
      </c>
      <c r="E33" s="95">
        <v>2889</v>
      </c>
      <c r="F33" s="184">
        <v>4</v>
      </c>
      <c r="G33" s="184">
        <v>40</v>
      </c>
      <c r="H33" s="184">
        <v>176</v>
      </c>
      <c r="I33" s="184">
        <v>1360</v>
      </c>
      <c r="J33" s="184">
        <v>23</v>
      </c>
      <c r="K33" s="184">
        <v>140</v>
      </c>
      <c r="L33" s="114">
        <v>4429</v>
      </c>
      <c r="M33" s="115">
        <v>2.9401026281025752E-2</v>
      </c>
      <c r="N33" s="98">
        <v>0.32341128909128325</v>
      </c>
    </row>
    <row r="34" spans="1:14" hidden="1">
      <c r="A34" s="39" t="s">
        <v>3</v>
      </c>
      <c r="B34" s="39" t="s">
        <v>1202</v>
      </c>
      <c r="C34" s="94" t="s">
        <v>1249</v>
      </c>
      <c r="D34" s="95">
        <v>49</v>
      </c>
      <c r="E34" s="95">
        <v>931</v>
      </c>
      <c r="F34" s="184"/>
      <c r="G34" s="184"/>
      <c r="H34" s="184">
        <v>20</v>
      </c>
      <c r="I34" s="184">
        <v>135</v>
      </c>
      <c r="J34" s="184"/>
      <c r="K34" s="184"/>
      <c r="L34" s="114">
        <v>1066</v>
      </c>
      <c r="M34" s="115">
        <v>7.0764267364130619E-3</v>
      </c>
      <c r="N34" s="98">
        <v>7.7840694100543686E-2</v>
      </c>
    </row>
    <row r="35" spans="1:14" hidden="1">
      <c r="A35" s="39" t="s">
        <v>3</v>
      </c>
      <c r="B35" s="39" t="s">
        <v>1202</v>
      </c>
      <c r="C35" s="99" t="s">
        <v>1251</v>
      </c>
      <c r="D35" s="95">
        <v>3368</v>
      </c>
      <c r="E35" s="95">
        <v>57256</v>
      </c>
      <c r="F35" s="184">
        <v>1134</v>
      </c>
      <c r="G35" s="184">
        <v>6265</v>
      </c>
      <c r="H35" s="184">
        <v>229</v>
      </c>
      <c r="I35" s="184">
        <v>1770</v>
      </c>
      <c r="J35" s="184">
        <v>10</v>
      </c>
      <c r="K35" s="184">
        <v>270</v>
      </c>
      <c r="L35" s="114">
        <v>65561</v>
      </c>
      <c r="M35" s="115">
        <v>0.43521352088740783</v>
      </c>
      <c r="N35" s="98">
        <v>4.7873487297614865</v>
      </c>
    </row>
    <row r="36" spans="1:14" hidden="1">
      <c r="A36" s="39" t="s">
        <v>3</v>
      </c>
      <c r="B36" s="39" t="s">
        <v>1202</v>
      </c>
      <c r="C36" s="99" t="s">
        <v>1252</v>
      </c>
      <c r="D36" s="95">
        <v>1494</v>
      </c>
      <c r="E36" s="95">
        <v>43326</v>
      </c>
      <c r="F36" s="184">
        <v>83</v>
      </c>
      <c r="G36" s="184">
        <v>2110</v>
      </c>
      <c r="H36" s="184">
        <v>821</v>
      </c>
      <c r="I36" s="184">
        <v>6785</v>
      </c>
      <c r="J36" s="184">
        <v>60</v>
      </c>
      <c r="K36" s="184">
        <v>1200</v>
      </c>
      <c r="L36" s="114">
        <v>53421</v>
      </c>
      <c r="M36" s="115">
        <v>0.354624570999927</v>
      </c>
      <c r="N36" s="98">
        <v>3.9008702809991971</v>
      </c>
    </row>
    <row r="37" spans="1:14" hidden="1">
      <c r="A37" s="79" t="s">
        <v>3</v>
      </c>
      <c r="B37" s="79" t="s">
        <v>1202</v>
      </c>
      <c r="C37" s="99" t="s">
        <v>1253</v>
      </c>
      <c r="D37" s="184">
        <v>775</v>
      </c>
      <c r="E37" s="184">
        <v>10850</v>
      </c>
      <c r="F37" s="184">
        <v>121</v>
      </c>
      <c r="G37" s="184">
        <v>3630</v>
      </c>
      <c r="H37" s="184">
        <v>650</v>
      </c>
      <c r="I37" s="184">
        <v>4635</v>
      </c>
      <c r="J37" s="184">
        <v>47</v>
      </c>
      <c r="K37" s="184">
        <v>245</v>
      </c>
      <c r="L37" s="185">
        <v>19360</v>
      </c>
      <c r="M37" s="186">
        <v>0.12851746868382447</v>
      </c>
      <c r="N37" s="187">
        <v>1.4136921555220692</v>
      </c>
    </row>
    <row r="38" spans="1:14" hidden="1">
      <c r="A38" s="79" t="s">
        <v>3</v>
      </c>
      <c r="B38" s="79" t="s">
        <v>1203</v>
      </c>
      <c r="C38" s="94" t="s">
        <v>1248</v>
      </c>
      <c r="D38" s="184">
        <v>269</v>
      </c>
      <c r="E38" s="184">
        <v>6725</v>
      </c>
      <c r="F38" s="184"/>
      <c r="G38" s="184"/>
      <c r="H38" s="184">
        <v>108</v>
      </c>
      <c r="I38" s="184">
        <v>950</v>
      </c>
      <c r="J38" s="184">
        <v>3</v>
      </c>
      <c r="K38" s="184">
        <v>90</v>
      </c>
      <c r="L38" s="185">
        <v>7765</v>
      </c>
      <c r="M38" s="186">
        <v>4.9945969588597011E-2</v>
      </c>
      <c r="N38" s="187">
        <v>0.54940566547456715</v>
      </c>
    </row>
    <row r="39" spans="1:14" hidden="1">
      <c r="A39" s="39" t="s">
        <v>3</v>
      </c>
      <c r="B39" s="39" t="s">
        <v>1203</v>
      </c>
      <c r="C39" s="94" t="s">
        <v>1247</v>
      </c>
      <c r="D39" s="95">
        <v>69</v>
      </c>
      <c r="E39" s="95">
        <v>1311</v>
      </c>
      <c r="F39" s="184"/>
      <c r="G39" s="184"/>
      <c r="H39" s="184">
        <v>32</v>
      </c>
      <c r="I39" s="184">
        <v>290</v>
      </c>
      <c r="J39" s="184"/>
      <c r="K39" s="184"/>
      <c r="L39" s="114">
        <v>1601</v>
      </c>
      <c r="M39" s="115">
        <v>1.0297939125736486E-2</v>
      </c>
      <c r="N39" s="98">
        <v>0.11327733038310135</v>
      </c>
    </row>
    <row r="40" spans="1:14" hidden="1">
      <c r="A40" s="39" t="s">
        <v>3</v>
      </c>
      <c r="B40" s="39" t="s">
        <v>1203</v>
      </c>
      <c r="C40" s="94" t="s">
        <v>1250</v>
      </c>
      <c r="D40" s="95">
        <v>106</v>
      </c>
      <c r="E40" s="95">
        <v>2862</v>
      </c>
      <c r="F40" s="184">
        <v>3</v>
      </c>
      <c r="G40" s="184">
        <v>30</v>
      </c>
      <c r="H40" s="184">
        <v>125</v>
      </c>
      <c r="I40" s="184">
        <v>1000</v>
      </c>
      <c r="J40" s="184">
        <v>19</v>
      </c>
      <c r="K40" s="184">
        <v>105</v>
      </c>
      <c r="L40" s="114">
        <v>3997</v>
      </c>
      <c r="M40" s="115">
        <v>2.5709470759255924E-2</v>
      </c>
      <c r="N40" s="98">
        <v>0.28280417835181515</v>
      </c>
    </row>
    <row r="41" spans="1:14" hidden="1">
      <c r="A41" s="39" t="s">
        <v>3</v>
      </c>
      <c r="B41" s="39" t="s">
        <v>1203</v>
      </c>
      <c r="C41" s="94" t="s">
        <v>1249</v>
      </c>
      <c r="D41" s="95">
        <v>44</v>
      </c>
      <c r="E41" s="95">
        <v>836</v>
      </c>
      <c r="F41" s="184"/>
      <c r="G41" s="184"/>
      <c r="H41" s="184">
        <v>16</v>
      </c>
      <c r="I41" s="184">
        <v>95</v>
      </c>
      <c r="J41" s="184"/>
      <c r="K41" s="184"/>
      <c r="L41" s="114">
        <v>931</v>
      </c>
      <c r="M41" s="115">
        <v>5.9883705971646899E-3</v>
      </c>
      <c r="N41" s="98">
        <v>6.5872076568811583E-2</v>
      </c>
    </row>
    <row r="42" spans="1:14" hidden="1">
      <c r="A42" s="39" t="s">
        <v>3</v>
      </c>
      <c r="B42" s="39" t="s">
        <v>1203</v>
      </c>
      <c r="C42" s="99" t="s">
        <v>1251</v>
      </c>
      <c r="D42" s="95">
        <v>3357</v>
      </c>
      <c r="E42" s="95">
        <v>57069</v>
      </c>
      <c r="F42" s="184">
        <v>1171</v>
      </c>
      <c r="G42" s="184">
        <v>6390</v>
      </c>
      <c r="H42" s="184">
        <v>238</v>
      </c>
      <c r="I42" s="184">
        <v>2150</v>
      </c>
      <c r="J42" s="184">
        <v>28</v>
      </c>
      <c r="K42" s="184">
        <v>285</v>
      </c>
      <c r="L42" s="114">
        <v>65894</v>
      </c>
      <c r="M42" s="115">
        <v>0.42384284868911931</v>
      </c>
      <c r="N42" s="98">
        <v>4.6622713355803125</v>
      </c>
    </row>
    <row r="43" spans="1:14" hidden="1">
      <c r="A43" s="39" t="s">
        <v>3</v>
      </c>
      <c r="B43" s="39" t="s">
        <v>1203</v>
      </c>
      <c r="C43" s="99" t="s">
        <v>1252</v>
      </c>
      <c r="D43" s="95">
        <v>1555</v>
      </c>
      <c r="E43" s="95">
        <v>45095</v>
      </c>
      <c r="F43" s="184">
        <v>90</v>
      </c>
      <c r="G43" s="184">
        <v>2280</v>
      </c>
      <c r="H43" s="184">
        <v>829</v>
      </c>
      <c r="I43" s="184">
        <v>6685</v>
      </c>
      <c r="J43" s="184">
        <v>39</v>
      </c>
      <c r="K43" s="184">
        <v>930</v>
      </c>
      <c r="L43" s="114">
        <v>54990</v>
      </c>
      <c r="M43" s="115">
        <v>0.35370622893457176</v>
      </c>
      <c r="N43" s="98">
        <v>3.8907685182802894</v>
      </c>
    </row>
    <row r="44" spans="1:14" hidden="1">
      <c r="A44" s="79" t="s">
        <v>3</v>
      </c>
      <c r="B44" s="79" t="s">
        <v>1203</v>
      </c>
      <c r="C44" s="99" t="s">
        <v>1253</v>
      </c>
      <c r="D44" s="184">
        <v>742</v>
      </c>
      <c r="E44" s="184">
        <v>10388</v>
      </c>
      <c r="F44" s="184">
        <v>129</v>
      </c>
      <c r="G44" s="184">
        <v>3870</v>
      </c>
      <c r="H44" s="184">
        <v>766</v>
      </c>
      <c r="I44" s="184">
        <v>5827</v>
      </c>
      <c r="J44" s="184">
        <v>37</v>
      </c>
      <c r="K44" s="184">
        <v>205</v>
      </c>
      <c r="L44" s="185">
        <v>20290</v>
      </c>
      <c r="M44" s="186">
        <v>0.13050917230555484</v>
      </c>
      <c r="N44" s="187">
        <v>1.4356008953611032</v>
      </c>
    </row>
    <row r="45" spans="1:14" hidden="1">
      <c r="A45" s="79" t="s">
        <v>3</v>
      </c>
      <c r="B45" s="79" t="s">
        <v>1204</v>
      </c>
      <c r="C45" s="99" t="s">
        <v>1248</v>
      </c>
      <c r="D45" s="188">
        <v>362</v>
      </c>
      <c r="E45" s="188">
        <v>9050</v>
      </c>
      <c r="F45" s="184"/>
      <c r="G45" s="184"/>
      <c r="H45" s="184">
        <v>176</v>
      </c>
      <c r="I45" s="184">
        <v>1560</v>
      </c>
      <c r="J45" s="184">
        <v>0</v>
      </c>
      <c r="K45" s="184">
        <v>30</v>
      </c>
      <c r="L45" s="185">
        <v>10640</v>
      </c>
      <c r="M45" s="186">
        <v>5.9986920145231493E-2</v>
      </c>
      <c r="N45" s="187">
        <v>0.65985612159754647</v>
      </c>
    </row>
    <row r="46" spans="1:14" hidden="1">
      <c r="A46" s="39" t="s">
        <v>3</v>
      </c>
      <c r="B46" s="39" t="s">
        <v>1204</v>
      </c>
      <c r="C46" s="99" t="s">
        <v>1247</v>
      </c>
      <c r="D46" s="29">
        <v>86</v>
      </c>
      <c r="E46" s="29">
        <v>1634</v>
      </c>
      <c r="F46" s="184"/>
      <c r="G46" s="184"/>
      <c r="H46" s="184">
        <v>33</v>
      </c>
      <c r="I46" s="184">
        <v>315</v>
      </c>
      <c r="J46" s="184"/>
      <c r="K46" s="184"/>
      <c r="L46" s="114">
        <v>1949</v>
      </c>
      <c r="M46" s="115">
        <v>1.0988205579234602E-2</v>
      </c>
      <c r="N46" s="98">
        <v>0.12087026137158062</v>
      </c>
    </row>
    <row r="47" spans="1:14" hidden="1">
      <c r="A47" s="39" t="s">
        <v>3</v>
      </c>
      <c r="B47" s="39" t="s">
        <v>1204</v>
      </c>
      <c r="C47" s="99" t="s">
        <v>1250</v>
      </c>
      <c r="D47" s="29">
        <v>115</v>
      </c>
      <c r="E47" s="29">
        <v>3105</v>
      </c>
      <c r="F47" s="184">
        <v>3</v>
      </c>
      <c r="G47" s="184">
        <v>30</v>
      </c>
      <c r="H47" s="184">
        <v>143</v>
      </c>
      <c r="I47" s="184">
        <v>1210</v>
      </c>
      <c r="J47" s="184">
        <v>24</v>
      </c>
      <c r="K47" s="184">
        <v>115</v>
      </c>
      <c r="L47" s="114">
        <v>4460</v>
      </c>
      <c r="M47" s="115">
        <v>2.5144893218771846E-2</v>
      </c>
      <c r="N47" s="98">
        <v>0.2765938254064903</v>
      </c>
    </row>
    <row r="48" spans="1:14" hidden="1">
      <c r="A48" s="39" t="s">
        <v>3</v>
      </c>
      <c r="B48" s="39" t="s">
        <v>1204</v>
      </c>
      <c r="C48" s="99" t="s">
        <v>1249</v>
      </c>
      <c r="D48" s="29">
        <v>57</v>
      </c>
      <c r="E48" s="29">
        <v>1083</v>
      </c>
      <c r="F48" s="184"/>
      <c r="G48" s="184"/>
      <c r="H48" s="184">
        <v>11</v>
      </c>
      <c r="I48" s="184">
        <v>90</v>
      </c>
      <c r="J48" s="184"/>
      <c r="K48" s="184"/>
      <c r="L48" s="114">
        <v>1173</v>
      </c>
      <c r="M48" s="115">
        <v>6.61321967390569E-3</v>
      </c>
      <c r="N48" s="98">
        <v>7.2745416412962588E-2</v>
      </c>
    </row>
    <row r="49" spans="1:14" hidden="1">
      <c r="A49" s="39" t="s">
        <v>3</v>
      </c>
      <c r="B49" s="39" t="s">
        <v>1204</v>
      </c>
      <c r="C49" s="99" t="s">
        <v>1251</v>
      </c>
      <c r="D49" s="29">
        <v>3859</v>
      </c>
      <c r="E49" s="29">
        <v>65603</v>
      </c>
      <c r="F49" s="184">
        <v>1221</v>
      </c>
      <c r="G49" s="184">
        <v>6785</v>
      </c>
      <c r="H49" s="184">
        <v>280</v>
      </c>
      <c r="I49" s="184">
        <v>3310</v>
      </c>
      <c r="J49" s="184">
        <v>17</v>
      </c>
      <c r="K49" s="184">
        <v>435</v>
      </c>
      <c r="L49" s="114">
        <v>76133</v>
      </c>
      <c r="M49" s="115">
        <v>0.4292278375391832</v>
      </c>
      <c r="N49" s="98">
        <v>4.7215062129310148</v>
      </c>
    </row>
    <row r="50" spans="1:14" hidden="1">
      <c r="A50" s="39" t="s">
        <v>3</v>
      </c>
      <c r="B50" s="39" t="s">
        <v>1204</v>
      </c>
      <c r="C50" s="99" t="s">
        <v>1252</v>
      </c>
      <c r="D50" s="29">
        <v>1703</v>
      </c>
      <c r="E50" s="29">
        <v>49387</v>
      </c>
      <c r="F50" s="184">
        <v>94</v>
      </c>
      <c r="G50" s="184">
        <v>2400</v>
      </c>
      <c r="H50" s="184">
        <v>1025</v>
      </c>
      <c r="I50" s="184">
        <v>8280</v>
      </c>
      <c r="J50" s="184">
        <v>53</v>
      </c>
      <c r="K50" s="184">
        <v>990</v>
      </c>
      <c r="L50" s="114">
        <v>61057</v>
      </c>
      <c r="M50" s="115">
        <v>0.34423133301761272</v>
      </c>
      <c r="N50" s="98">
        <v>3.7865446631937401</v>
      </c>
    </row>
    <row r="51" spans="1:14" hidden="1">
      <c r="A51" s="79" t="s">
        <v>3</v>
      </c>
      <c r="B51" s="79" t="s">
        <v>1204</v>
      </c>
      <c r="C51" s="99" t="s">
        <v>1253</v>
      </c>
      <c r="D51" s="188">
        <v>788</v>
      </c>
      <c r="E51" s="188">
        <v>11032</v>
      </c>
      <c r="F51" s="184">
        <v>163</v>
      </c>
      <c r="G51" s="184">
        <v>4890</v>
      </c>
      <c r="H51" s="184">
        <v>757</v>
      </c>
      <c r="I51" s="184">
        <v>5713</v>
      </c>
      <c r="J51" s="184">
        <v>48</v>
      </c>
      <c r="K51" s="184">
        <v>325</v>
      </c>
      <c r="L51" s="185">
        <v>21960</v>
      </c>
      <c r="M51" s="186">
        <v>0.12380759082606048</v>
      </c>
      <c r="N51" s="187">
        <v>1.3618834990866653</v>
      </c>
    </row>
    <row r="52" spans="1:14" hidden="1">
      <c r="A52" s="79" t="s">
        <v>3</v>
      </c>
      <c r="B52" s="79" t="s">
        <v>1205</v>
      </c>
      <c r="C52" s="99" t="s">
        <v>1248</v>
      </c>
      <c r="D52" s="188">
        <v>275</v>
      </c>
      <c r="E52" s="188">
        <v>6875</v>
      </c>
      <c r="F52" s="184"/>
      <c r="G52" s="184"/>
      <c r="H52" s="184">
        <v>117</v>
      </c>
      <c r="I52" s="184">
        <v>1030</v>
      </c>
      <c r="J52" s="184">
        <v>2</v>
      </c>
      <c r="K52" s="184">
        <v>60</v>
      </c>
      <c r="L52" s="185">
        <v>7965</v>
      </c>
      <c r="M52" s="186">
        <v>4.551480588349581E-2</v>
      </c>
      <c r="N52" s="187">
        <v>0.50066286471845389</v>
      </c>
    </row>
    <row r="53" spans="1:14" hidden="1">
      <c r="A53" s="39" t="s">
        <v>3</v>
      </c>
      <c r="B53" s="39" t="s">
        <v>1205</v>
      </c>
      <c r="C53" s="99" t="s">
        <v>1247</v>
      </c>
      <c r="D53" s="29">
        <v>88</v>
      </c>
      <c r="E53" s="29">
        <v>1672</v>
      </c>
      <c r="F53" s="184"/>
      <c r="G53" s="184"/>
      <c r="H53" s="184">
        <v>34</v>
      </c>
      <c r="I53" s="184">
        <v>330</v>
      </c>
      <c r="J53" s="184"/>
      <c r="K53" s="184"/>
      <c r="L53" s="114">
        <v>2002</v>
      </c>
      <c r="M53" s="115">
        <v>1.1440130744351363E-2</v>
      </c>
      <c r="N53" s="98">
        <v>0.125841438187865</v>
      </c>
    </row>
    <row r="54" spans="1:14" hidden="1">
      <c r="A54" s="39" t="s">
        <v>3</v>
      </c>
      <c r="B54" s="39" t="s">
        <v>1205</v>
      </c>
      <c r="C54" s="99" t="s">
        <v>1250</v>
      </c>
      <c r="D54" s="29">
        <v>126</v>
      </c>
      <c r="E54" s="29">
        <v>3402</v>
      </c>
      <c r="F54" s="184">
        <v>3</v>
      </c>
      <c r="G54" s="184">
        <v>30</v>
      </c>
      <c r="H54" s="184">
        <v>135</v>
      </c>
      <c r="I54" s="184">
        <v>1110</v>
      </c>
      <c r="J54" s="184">
        <v>24</v>
      </c>
      <c r="K54" s="184">
        <v>120</v>
      </c>
      <c r="L54" s="114">
        <v>4662</v>
      </c>
      <c r="M54" s="115">
        <v>2.6640304460622408E-2</v>
      </c>
      <c r="N54" s="98">
        <v>0.29304334906684648</v>
      </c>
    </row>
    <row r="55" spans="1:14" hidden="1">
      <c r="A55" s="39" t="s">
        <v>3</v>
      </c>
      <c r="B55" s="39" t="s">
        <v>1205</v>
      </c>
      <c r="C55" s="99" t="s">
        <v>1249</v>
      </c>
      <c r="D55" s="29">
        <v>54</v>
      </c>
      <c r="E55" s="29">
        <v>1026</v>
      </c>
      <c r="F55" s="184"/>
      <c r="G55" s="184"/>
      <c r="H55" s="184">
        <v>17</v>
      </c>
      <c r="I55" s="184">
        <v>125</v>
      </c>
      <c r="J55" s="184"/>
      <c r="K55" s="184"/>
      <c r="L55" s="114">
        <v>1151</v>
      </c>
      <c r="M55" s="115">
        <v>6.5772180253488612E-3</v>
      </c>
      <c r="N55" s="98">
        <v>7.2349398278837476E-2</v>
      </c>
    </row>
    <row r="56" spans="1:14" hidden="1">
      <c r="A56" s="39" t="s">
        <v>3</v>
      </c>
      <c r="B56" s="39" t="s">
        <v>1205</v>
      </c>
      <c r="C56" s="99" t="s">
        <v>1251</v>
      </c>
      <c r="D56" s="29">
        <v>3837</v>
      </c>
      <c r="E56" s="29">
        <v>65229</v>
      </c>
      <c r="F56" s="184">
        <v>1282</v>
      </c>
      <c r="G56" s="184">
        <v>7085</v>
      </c>
      <c r="H56" s="184">
        <v>222</v>
      </c>
      <c r="I56" s="184">
        <v>1345</v>
      </c>
      <c r="J56" s="184">
        <v>11</v>
      </c>
      <c r="K56" s="184">
        <v>225</v>
      </c>
      <c r="L56" s="114">
        <v>73884</v>
      </c>
      <c r="M56" s="115">
        <v>0.42219911084698108</v>
      </c>
      <c r="N56" s="98">
        <v>4.6441902193167923</v>
      </c>
    </row>
    <row r="57" spans="1:14" hidden="1">
      <c r="A57" s="39" t="s">
        <v>3</v>
      </c>
      <c r="B57" s="39" t="s">
        <v>1205</v>
      </c>
      <c r="C57" s="99" t="s">
        <v>1252</v>
      </c>
      <c r="D57" s="29">
        <v>1777</v>
      </c>
      <c r="E57" s="29">
        <v>51533</v>
      </c>
      <c r="F57" s="184">
        <v>79</v>
      </c>
      <c r="G57" s="184">
        <v>1890</v>
      </c>
      <c r="H57" s="184">
        <v>1053</v>
      </c>
      <c r="I57" s="184">
        <v>8440</v>
      </c>
      <c r="J57" s="184">
        <v>43</v>
      </c>
      <c r="K57" s="184">
        <v>740</v>
      </c>
      <c r="L57" s="114">
        <v>62603</v>
      </c>
      <c r="M57" s="115">
        <v>0.35773551697733691</v>
      </c>
      <c r="N57" s="98">
        <v>3.9350906867507058</v>
      </c>
    </row>
    <row r="58" spans="1:14" hidden="1">
      <c r="A58" s="79" t="s">
        <v>3</v>
      </c>
      <c r="B58" s="79" t="s">
        <v>1205</v>
      </c>
      <c r="C58" s="99" t="s">
        <v>1253</v>
      </c>
      <c r="D58" s="188">
        <v>797</v>
      </c>
      <c r="E58" s="188">
        <v>11158</v>
      </c>
      <c r="F58" s="184">
        <v>150</v>
      </c>
      <c r="G58" s="184">
        <v>4500</v>
      </c>
      <c r="H58" s="184">
        <v>892</v>
      </c>
      <c r="I58" s="184">
        <v>6743</v>
      </c>
      <c r="J58" s="184">
        <v>50</v>
      </c>
      <c r="K58" s="184">
        <v>330</v>
      </c>
      <c r="L58" s="185">
        <v>22731</v>
      </c>
      <c r="M58" s="186">
        <v>0.12989291306186357</v>
      </c>
      <c r="N58" s="187">
        <v>1.4288220436804993</v>
      </c>
    </row>
    <row r="59" spans="1:14" hidden="1">
      <c r="A59" s="149" t="s">
        <v>4</v>
      </c>
      <c r="B59" s="149" t="s">
        <v>1206</v>
      </c>
      <c r="C59" s="150" t="s">
        <v>1248</v>
      </c>
      <c r="D59" s="151">
        <v>631</v>
      </c>
      <c r="E59" s="138">
        <v>15775</v>
      </c>
      <c r="F59" s="151">
        <v>0</v>
      </c>
      <c r="G59" s="151">
        <v>0</v>
      </c>
      <c r="H59" s="151">
        <v>8</v>
      </c>
      <c r="I59" s="149">
        <v>70</v>
      </c>
      <c r="J59" s="151">
        <v>6</v>
      </c>
      <c r="K59" s="151">
        <v>105</v>
      </c>
      <c r="L59" s="152">
        <v>15950</v>
      </c>
      <c r="M59" s="153">
        <v>9.1399821211634993E-2</v>
      </c>
      <c r="N59" s="154">
        <v>1.5537969605977948</v>
      </c>
    </row>
    <row r="60" spans="1:14" hidden="1">
      <c r="A60" s="149" t="s">
        <v>4</v>
      </c>
      <c r="B60" s="149" t="s">
        <v>1206</v>
      </c>
      <c r="C60" s="150" t="s">
        <v>1247</v>
      </c>
      <c r="D60" s="151">
        <v>349</v>
      </c>
      <c r="E60" s="138">
        <v>6631</v>
      </c>
      <c r="F60" s="151">
        <v>0</v>
      </c>
      <c r="G60" s="151">
        <v>0</v>
      </c>
      <c r="H60" s="151">
        <v>1</v>
      </c>
      <c r="I60" s="149">
        <v>10</v>
      </c>
      <c r="J60" s="151">
        <v>52</v>
      </c>
      <c r="K60" s="151">
        <v>1065</v>
      </c>
      <c r="L60" s="152">
        <v>7706</v>
      </c>
      <c r="M60" s="153">
        <v>4.415843399729525E-2</v>
      </c>
      <c r="N60" s="154">
        <v>0.75069337795401925</v>
      </c>
    </row>
    <row r="61" spans="1:14" hidden="1">
      <c r="A61" s="149" t="s">
        <v>4</v>
      </c>
      <c r="B61" s="149" t="s">
        <v>1206</v>
      </c>
      <c r="C61" s="150" t="s">
        <v>1250</v>
      </c>
      <c r="D61" s="151">
        <v>703</v>
      </c>
      <c r="E61" s="138">
        <v>18981</v>
      </c>
      <c r="F61" s="151">
        <v>10</v>
      </c>
      <c r="G61" s="151">
        <v>170</v>
      </c>
      <c r="H61" s="151">
        <v>46</v>
      </c>
      <c r="I61" s="149">
        <v>745</v>
      </c>
      <c r="J61" s="151">
        <v>102</v>
      </c>
      <c r="K61" s="151">
        <v>1675</v>
      </c>
      <c r="L61" s="152">
        <v>21571</v>
      </c>
      <c r="M61" s="153">
        <v>0.1236103788938043</v>
      </c>
      <c r="N61" s="154">
        <v>2.1013764411946729</v>
      </c>
    </row>
    <row r="62" spans="1:14" hidden="1">
      <c r="A62" s="149" t="s">
        <v>4</v>
      </c>
      <c r="B62" s="149" t="s">
        <v>1206</v>
      </c>
      <c r="C62" s="150" t="s">
        <v>1249</v>
      </c>
      <c r="D62" s="151">
        <v>140</v>
      </c>
      <c r="E62" s="138">
        <v>2660</v>
      </c>
      <c r="F62" s="151">
        <v>11</v>
      </c>
      <c r="G62" s="151">
        <v>220</v>
      </c>
      <c r="H62" s="151">
        <v>24</v>
      </c>
      <c r="I62" s="149">
        <v>190</v>
      </c>
      <c r="J62" s="151">
        <v>20</v>
      </c>
      <c r="K62" s="151">
        <v>360</v>
      </c>
      <c r="L62" s="152">
        <v>3430</v>
      </c>
      <c r="M62" s="153">
        <v>1.9655259357737181E-2</v>
      </c>
      <c r="N62" s="154">
        <v>0.33413940908153206</v>
      </c>
    </row>
    <row r="63" spans="1:14" hidden="1">
      <c r="A63" s="149" t="s">
        <v>4</v>
      </c>
      <c r="B63" s="149" t="s">
        <v>1206</v>
      </c>
      <c r="C63" s="150" t="s">
        <v>1251</v>
      </c>
      <c r="D63" s="151">
        <v>2028</v>
      </c>
      <c r="E63" s="138">
        <v>34476</v>
      </c>
      <c r="F63" s="151">
        <v>49</v>
      </c>
      <c r="G63" s="151">
        <v>490</v>
      </c>
      <c r="H63" s="151">
        <v>21</v>
      </c>
      <c r="I63" s="149">
        <v>215</v>
      </c>
      <c r="J63" s="151">
        <v>31</v>
      </c>
      <c r="K63" s="151">
        <v>710</v>
      </c>
      <c r="L63" s="152">
        <v>35891</v>
      </c>
      <c r="M63" s="153">
        <v>0.20566965411327848</v>
      </c>
      <c r="N63" s="154">
        <v>3.4963841199257342</v>
      </c>
    </row>
    <row r="64" spans="1:14" hidden="1">
      <c r="A64" s="149" t="s">
        <v>4</v>
      </c>
      <c r="B64" s="149" t="s">
        <v>1206</v>
      </c>
      <c r="C64" s="150" t="s">
        <v>1252</v>
      </c>
      <c r="D64" s="151">
        <v>2819</v>
      </c>
      <c r="E64" s="138">
        <v>81751</v>
      </c>
      <c r="F64" s="151">
        <v>1</v>
      </c>
      <c r="G64" s="151">
        <v>30</v>
      </c>
      <c r="H64" s="151">
        <v>278</v>
      </c>
      <c r="I64" s="149">
        <v>2525</v>
      </c>
      <c r="J64" s="151">
        <v>60</v>
      </c>
      <c r="K64" s="151">
        <v>1650</v>
      </c>
      <c r="L64" s="152">
        <v>85956</v>
      </c>
      <c r="M64" s="153">
        <v>0.49256194558415661</v>
      </c>
      <c r="N64" s="154">
        <v>8.3735530749306619</v>
      </c>
    </row>
    <row r="65" spans="1:14" hidden="1">
      <c r="A65" s="149" t="s">
        <v>4</v>
      </c>
      <c r="B65" s="149" t="s">
        <v>1206</v>
      </c>
      <c r="C65" s="150" t="s">
        <v>1253</v>
      </c>
      <c r="D65" s="151">
        <v>286</v>
      </c>
      <c r="E65" s="138">
        <v>4004</v>
      </c>
      <c r="F65" s="151">
        <v>0</v>
      </c>
      <c r="G65" s="151">
        <v>0</v>
      </c>
      <c r="H65" s="151">
        <v>0</v>
      </c>
      <c r="I65" s="149">
        <v>0</v>
      </c>
      <c r="J65" s="151">
        <v>0</v>
      </c>
      <c r="K65" s="151">
        <v>0</v>
      </c>
      <c r="L65" s="152">
        <v>4004</v>
      </c>
      <c r="M65" s="153">
        <v>2.2944506842093201E-2</v>
      </c>
      <c r="N65" s="154">
        <v>0.39005661631558441</v>
      </c>
    </row>
    <row r="66" spans="1:14" hidden="1">
      <c r="A66" s="155" t="s">
        <v>4</v>
      </c>
      <c r="B66" s="155" t="s">
        <v>1449</v>
      </c>
      <c r="C66" s="156" t="s">
        <v>1248</v>
      </c>
      <c r="D66" s="157">
        <v>24</v>
      </c>
      <c r="E66" s="138">
        <v>600</v>
      </c>
      <c r="F66" s="157">
        <v>0</v>
      </c>
      <c r="G66" s="157">
        <v>0</v>
      </c>
      <c r="H66" s="157">
        <v>0</v>
      </c>
      <c r="I66" s="155">
        <v>0</v>
      </c>
      <c r="J66" s="157">
        <v>0</v>
      </c>
      <c r="K66" s="157">
        <v>0</v>
      </c>
      <c r="L66" s="158">
        <v>600</v>
      </c>
      <c r="M66" s="159">
        <v>3.074873161482089E-2</v>
      </c>
      <c r="N66" s="160">
        <v>0.52272843745195519</v>
      </c>
    </row>
    <row r="67" spans="1:14" hidden="1">
      <c r="A67" s="155" t="s">
        <v>4</v>
      </c>
      <c r="B67" s="155" t="s">
        <v>1449</v>
      </c>
      <c r="C67" s="156" t="s">
        <v>1247</v>
      </c>
      <c r="D67" s="157">
        <v>13</v>
      </c>
      <c r="E67" s="138">
        <v>247</v>
      </c>
      <c r="F67" s="157">
        <v>0</v>
      </c>
      <c r="G67" s="157">
        <v>0</v>
      </c>
      <c r="H67" s="157">
        <v>0</v>
      </c>
      <c r="I67" s="155">
        <v>0</v>
      </c>
      <c r="J67" s="157">
        <v>0</v>
      </c>
      <c r="K67" s="157">
        <v>0</v>
      </c>
      <c r="L67" s="158">
        <v>247</v>
      </c>
      <c r="M67" s="159">
        <v>1.2658227848101266E-2</v>
      </c>
      <c r="N67" s="160">
        <v>0.21518987341772153</v>
      </c>
    </row>
    <row r="68" spans="1:14" hidden="1">
      <c r="A68" s="155" t="s">
        <v>4</v>
      </c>
      <c r="B68" s="155" t="s">
        <v>1449</v>
      </c>
      <c r="C68" s="156" t="s">
        <v>1250</v>
      </c>
      <c r="D68" s="157">
        <v>272</v>
      </c>
      <c r="E68" s="138">
        <v>7344</v>
      </c>
      <c r="F68" s="157">
        <v>0</v>
      </c>
      <c r="G68" s="157">
        <v>0</v>
      </c>
      <c r="H68" s="157">
        <v>6</v>
      </c>
      <c r="I68" s="155">
        <v>45</v>
      </c>
      <c r="J68" s="157">
        <v>8</v>
      </c>
      <c r="K68" s="157">
        <v>135</v>
      </c>
      <c r="L68" s="158">
        <v>7524</v>
      </c>
      <c r="M68" s="159">
        <v>0.38558909444985395</v>
      </c>
      <c r="N68" s="160">
        <v>6.5550146056475169</v>
      </c>
    </row>
    <row r="69" spans="1:14" hidden="1">
      <c r="A69" s="155" t="s">
        <v>4</v>
      </c>
      <c r="B69" s="155" t="s">
        <v>1449</v>
      </c>
      <c r="C69" s="156" t="s">
        <v>1249</v>
      </c>
      <c r="D69" s="157">
        <v>55</v>
      </c>
      <c r="E69" s="138">
        <v>1045</v>
      </c>
      <c r="F69" s="157">
        <v>0</v>
      </c>
      <c r="G69" s="157">
        <v>0</v>
      </c>
      <c r="H69" s="157">
        <v>3</v>
      </c>
      <c r="I69" s="155">
        <v>15</v>
      </c>
      <c r="J69" s="157">
        <v>2</v>
      </c>
      <c r="K69" s="157">
        <v>60</v>
      </c>
      <c r="L69" s="158">
        <v>1120</v>
      </c>
      <c r="M69" s="159">
        <v>5.7397632347665657E-2</v>
      </c>
      <c r="N69" s="160">
        <v>0.97575974991031622</v>
      </c>
    </row>
    <row r="70" spans="1:14" hidden="1">
      <c r="A70" s="155" t="s">
        <v>4</v>
      </c>
      <c r="B70" s="155" t="s">
        <v>1449</v>
      </c>
      <c r="C70" s="156" t="s">
        <v>1251</v>
      </c>
      <c r="D70" s="157">
        <v>151</v>
      </c>
      <c r="E70" s="138">
        <v>2567</v>
      </c>
      <c r="F70" s="157">
        <v>0</v>
      </c>
      <c r="G70" s="157">
        <v>0</v>
      </c>
      <c r="H70" s="157">
        <v>8</v>
      </c>
      <c r="I70" s="155">
        <v>160</v>
      </c>
      <c r="J70" s="157">
        <v>5</v>
      </c>
      <c r="K70" s="157">
        <v>105</v>
      </c>
      <c r="L70" s="158">
        <v>2832</v>
      </c>
      <c r="M70" s="159">
        <v>0.1451340132219546</v>
      </c>
      <c r="N70" s="160">
        <v>2.4672782247732283</v>
      </c>
    </row>
    <row r="71" spans="1:14" hidden="1">
      <c r="A71" s="155" t="s">
        <v>4</v>
      </c>
      <c r="B71" s="155" t="s">
        <v>1449</v>
      </c>
      <c r="C71" s="156" t="s">
        <v>1252</v>
      </c>
      <c r="D71" s="157">
        <v>226</v>
      </c>
      <c r="E71" s="138">
        <v>6554</v>
      </c>
      <c r="F71" s="157">
        <v>0</v>
      </c>
      <c r="G71" s="157">
        <v>0</v>
      </c>
      <c r="H71" s="157">
        <v>13</v>
      </c>
      <c r="I71" s="155">
        <v>130</v>
      </c>
      <c r="J71" s="157">
        <v>1</v>
      </c>
      <c r="K71" s="157">
        <v>30</v>
      </c>
      <c r="L71" s="158">
        <v>6714</v>
      </c>
      <c r="M71" s="159">
        <v>0.34407830676984574</v>
      </c>
      <c r="N71" s="160">
        <v>5.8493312150873775</v>
      </c>
    </row>
    <row r="72" spans="1:14" hidden="1">
      <c r="A72" s="155" t="s">
        <v>4</v>
      </c>
      <c r="B72" s="155" t="s">
        <v>1449</v>
      </c>
      <c r="C72" s="156" t="s">
        <v>1253</v>
      </c>
      <c r="D72" s="157">
        <v>34</v>
      </c>
      <c r="E72" s="138">
        <v>476</v>
      </c>
      <c r="F72" s="157">
        <v>0</v>
      </c>
      <c r="G72" s="157">
        <v>0</v>
      </c>
      <c r="H72" s="157">
        <v>0</v>
      </c>
      <c r="I72" s="155">
        <v>0</v>
      </c>
      <c r="J72" s="157">
        <v>0</v>
      </c>
      <c r="K72" s="157">
        <v>0</v>
      </c>
      <c r="L72" s="158">
        <v>476</v>
      </c>
      <c r="M72" s="159">
        <v>2.4393993747757903E-2</v>
      </c>
      <c r="N72" s="160">
        <v>0.41469789371188437</v>
      </c>
    </row>
    <row r="73" spans="1:14" hidden="1">
      <c r="A73" s="144" t="s">
        <v>4</v>
      </c>
      <c r="B73" s="144" t="s">
        <v>1452</v>
      </c>
      <c r="C73" s="145" t="s">
        <v>1248</v>
      </c>
      <c r="D73" s="161">
        <v>0</v>
      </c>
      <c r="E73" s="138">
        <v>0</v>
      </c>
      <c r="F73" s="161">
        <v>0</v>
      </c>
      <c r="G73" s="161">
        <v>0</v>
      </c>
      <c r="H73" s="161">
        <v>0</v>
      </c>
      <c r="I73" s="144">
        <v>0</v>
      </c>
      <c r="J73" s="161">
        <v>0</v>
      </c>
      <c r="K73" s="161">
        <v>0</v>
      </c>
      <c r="L73" s="146">
        <v>0</v>
      </c>
      <c r="M73" s="147">
        <v>0</v>
      </c>
      <c r="N73" s="148">
        <v>0</v>
      </c>
    </row>
    <row r="74" spans="1:14" hidden="1">
      <c r="A74" s="144" t="s">
        <v>4</v>
      </c>
      <c r="B74" s="144" t="s">
        <v>1452</v>
      </c>
      <c r="C74" s="145" t="s">
        <v>1247</v>
      </c>
      <c r="D74" s="161">
        <v>0</v>
      </c>
      <c r="E74" s="138">
        <v>0</v>
      </c>
      <c r="F74" s="161">
        <v>0</v>
      </c>
      <c r="G74" s="161">
        <v>0</v>
      </c>
      <c r="H74" s="161">
        <v>0</v>
      </c>
      <c r="I74" s="144">
        <v>0</v>
      </c>
      <c r="J74" s="161">
        <v>0</v>
      </c>
      <c r="K74" s="161">
        <v>0</v>
      </c>
      <c r="L74" s="146">
        <v>0</v>
      </c>
      <c r="M74" s="147">
        <v>0</v>
      </c>
      <c r="N74" s="148">
        <v>0</v>
      </c>
    </row>
    <row r="75" spans="1:14" hidden="1">
      <c r="A75" s="144" t="s">
        <v>4</v>
      </c>
      <c r="B75" s="144" t="s">
        <v>1452</v>
      </c>
      <c r="C75" s="145" t="s">
        <v>1250</v>
      </c>
      <c r="D75" s="161">
        <v>5</v>
      </c>
      <c r="E75" s="138">
        <v>135</v>
      </c>
      <c r="F75" s="161">
        <v>0</v>
      </c>
      <c r="G75" s="161">
        <v>0</v>
      </c>
      <c r="H75" s="161">
        <v>0</v>
      </c>
      <c r="I75" s="144">
        <v>0</v>
      </c>
      <c r="J75" s="161">
        <v>0</v>
      </c>
      <c r="K75" s="161">
        <v>0</v>
      </c>
      <c r="L75" s="146">
        <v>135</v>
      </c>
      <c r="M75" s="147">
        <v>0.29933481152993346</v>
      </c>
      <c r="N75" s="148">
        <v>5.0886917960088685</v>
      </c>
    </row>
    <row r="76" spans="1:14" hidden="1">
      <c r="A76" s="144" t="s">
        <v>4</v>
      </c>
      <c r="B76" s="144" t="s">
        <v>1452</v>
      </c>
      <c r="C76" s="145" t="s">
        <v>1249</v>
      </c>
      <c r="D76" s="161">
        <v>3</v>
      </c>
      <c r="E76" s="138">
        <v>57</v>
      </c>
      <c r="F76" s="161">
        <v>0</v>
      </c>
      <c r="G76" s="161">
        <v>0</v>
      </c>
      <c r="H76" s="161">
        <v>0</v>
      </c>
      <c r="I76" s="144">
        <v>0</v>
      </c>
      <c r="J76" s="161">
        <v>1</v>
      </c>
      <c r="K76" s="161">
        <v>15</v>
      </c>
      <c r="L76" s="146">
        <v>72</v>
      </c>
      <c r="M76" s="147">
        <v>0.15964523281596452</v>
      </c>
      <c r="N76" s="148">
        <v>2.7139689578713968</v>
      </c>
    </row>
    <row r="77" spans="1:14" hidden="1">
      <c r="A77" s="144" t="s">
        <v>4</v>
      </c>
      <c r="B77" s="144" t="s">
        <v>1452</v>
      </c>
      <c r="C77" s="145" t="s">
        <v>1251</v>
      </c>
      <c r="D77" s="161">
        <v>5</v>
      </c>
      <c r="E77" s="138">
        <v>85</v>
      </c>
      <c r="F77" s="161">
        <v>0</v>
      </c>
      <c r="G77" s="161">
        <v>0</v>
      </c>
      <c r="H77" s="161">
        <v>0</v>
      </c>
      <c r="I77" s="144">
        <v>0</v>
      </c>
      <c r="J77" s="161">
        <v>0</v>
      </c>
      <c r="K77" s="161">
        <v>0</v>
      </c>
      <c r="L77" s="146">
        <v>85</v>
      </c>
      <c r="M77" s="147">
        <v>0.18847006651884701</v>
      </c>
      <c r="N77" s="148">
        <v>3.2039911308203992</v>
      </c>
    </row>
    <row r="78" spans="1:14" hidden="1">
      <c r="A78" s="144" t="s">
        <v>4</v>
      </c>
      <c r="B78" s="144" t="s">
        <v>1452</v>
      </c>
      <c r="C78" s="145" t="s">
        <v>1252</v>
      </c>
      <c r="D78" s="161">
        <v>5</v>
      </c>
      <c r="E78" s="138">
        <v>145</v>
      </c>
      <c r="F78" s="161">
        <v>0</v>
      </c>
      <c r="G78" s="161">
        <v>0</v>
      </c>
      <c r="H78" s="161">
        <v>0</v>
      </c>
      <c r="I78" s="144">
        <v>0</v>
      </c>
      <c r="J78" s="161">
        <v>0</v>
      </c>
      <c r="K78" s="161">
        <v>0</v>
      </c>
      <c r="L78" s="146">
        <v>145</v>
      </c>
      <c r="M78" s="147">
        <v>0.3215077605321508</v>
      </c>
      <c r="N78" s="148">
        <v>5.4656319290465634</v>
      </c>
    </row>
    <row r="79" spans="1:14" hidden="1">
      <c r="A79" s="144" t="s">
        <v>4</v>
      </c>
      <c r="B79" s="144" t="s">
        <v>1452</v>
      </c>
      <c r="C79" s="145" t="s">
        <v>1253</v>
      </c>
      <c r="D79" s="161">
        <v>1</v>
      </c>
      <c r="E79" s="138">
        <v>14</v>
      </c>
      <c r="F79" s="161">
        <v>0</v>
      </c>
      <c r="G79" s="161">
        <v>0</v>
      </c>
      <c r="H79" s="161">
        <v>0</v>
      </c>
      <c r="I79" s="144">
        <v>0</v>
      </c>
      <c r="J79" s="161">
        <v>0</v>
      </c>
      <c r="K79" s="161">
        <v>0</v>
      </c>
      <c r="L79" s="146">
        <v>14</v>
      </c>
      <c r="M79" s="147">
        <v>3.1042128603104215E-2</v>
      </c>
      <c r="N79" s="148">
        <v>0.52771618625277161</v>
      </c>
    </row>
    <row r="80" spans="1:14" hidden="1">
      <c r="A80" s="137" t="s">
        <v>4</v>
      </c>
      <c r="B80" s="137" t="s">
        <v>1453</v>
      </c>
      <c r="C80" s="143" t="s">
        <v>1248</v>
      </c>
      <c r="D80" s="139">
        <v>0</v>
      </c>
      <c r="E80" s="138">
        <v>0</v>
      </c>
      <c r="F80" s="139">
        <v>0</v>
      </c>
      <c r="G80" s="139">
        <v>0</v>
      </c>
      <c r="H80" s="139">
        <v>0</v>
      </c>
      <c r="I80" s="137">
        <v>0</v>
      </c>
      <c r="J80" s="139">
        <v>0</v>
      </c>
      <c r="K80" s="139">
        <v>0</v>
      </c>
      <c r="L80" s="140">
        <v>0</v>
      </c>
      <c r="M80" s="141" t="s">
        <v>1448</v>
      </c>
      <c r="N80" s="142" t="e">
        <v>#VALUE!</v>
      </c>
    </row>
    <row r="81" spans="1:14" hidden="1">
      <c r="A81" s="137" t="s">
        <v>4</v>
      </c>
      <c r="B81" s="137" t="s">
        <v>1453</v>
      </c>
      <c r="C81" s="143" t="s">
        <v>1247</v>
      </c>
      <c r="D81" s="139">
        <v>0</v>
      </c>
      <c r="E81" s="138">
        <v>0</v>
      </c>
      <c r="F81" s="139">
        <v>0</v>
      </c>
      <c r="G81" s="139">
        <v>0</v>
      </c>
      <c r="H81" s="139">
        <v>0</v>
      </c>
      <c r="I81" s="137">
        <v>0</v>
      </c>
      <c r="J81" s="139">
        <v>0</v>
      </c>
      <c r="K81" s="139">
        <v>0</v>
      </c>
      <c r="L81" s="140">
        <v>0</v>
      </c>
      <c r="M81" s="141" t="s">
        <v>1448</v>
      </c>
      <c r="N81" s="142" t="e">
        <v>#VALUE!</v>
      </c>
    </row>
    <row r="82" spans="1:14" hidden="1">
      <c r="A82" s="137" t="s">
        <v>4</v>
      </c>
      <c r="B82" s="137" t="s">
        <v>1453</v>
      </c>
      <c r="C82" s="143" t="s">
        <v>1250</v>
      </c>
      <c r="D82" s="139">
        <v>0</v>
      </c>
      <c r="E82" s="138">
        <v>0</v>
      </c>
      <c r="F82" s="139">
        <v>0</v>
      </c>
      <c r="G82" s="139">
        <v>0</v>
      </c>
      <c r="H82" s="139">
        <v>0</v>
      </c>
      <c r="I82" s="137">
        <v>0</v>
      </c>
      <c r="J82" s="139">
        <v>0</v>
      </c>
      <c r="K82" s="139">
        <v>0</v>
      </c>
      <c r="L82" s="140">
        <v>0</v>
      </c>
      <c r="M82" s="141" t="s">
        <v>1448</v>
      </c>
      <c r="N82" s="142" t="e">
        <v>#VALUE!</v>
      </c>
    </row>
    <row r="83" spans="1:14" hidden="1">
      <c r="A83" s="137" t="s">
        <v>4</v>
      </c>
      <c r="B83" s="137" t="s">
        <v>1453</v>
      </c>
      <c r="C83" s="143" t="s">
        <v>1249</v>
      </c>
      <c r="D83" s="139">
        <v>0</v>
      </c>
      <c r="E83" s="138">
        <v>0</v>
      </c>
      <c r="F83" s="139">
        <v>0</v>
      </c>
      <c r="G83" s="139">
        <v>0</v>
      </c>
      <c r="H83" s="139">
        <v>0</v>
      </c>
      <c r="I83" s="137">
        <v>0</v>
      </c>
      <c r="J83" s="139">
        <v>0</v>
      </c>
      <c r="K83" s="139">
        <v>0</v>
      </c>
      <c r="L83" s="140">
        <v>0</v>
      </c>
      <c r="M83" s="141" t="s">
        <v>1448</v>
      </c>
      <c r="N83" s="142" t="e">
        <v>#VALUE!</v>
      </c>
    </row>
    <row r="84" spans="1:14" hidden="1">
      <c r="A84" s="137" t="s">
        <v>4</v>
      </c>
      <c r="B84" s="137" t="s">
        <v>1453</v>
      </c>
      <c r="C84" s="143" t="s">
        <v>1251</v>
      </c>
      <c r="D84" s="139">
        <v>0</v>
      </c>
      <c r="E84" s="138">
        <v>0</v>
      </c>
      <c r="F84" s="139">
        <v>0</v>
      </c>
      <c r="G84" s="139">
        <v>0</v>
      </c>
      <c r="H84" s="139">
        <v>0</v>
      </c>
      <c r="I84" s="137">
        <v>0</v>
      </c>
      <c r="J84" s="139">
        <v>0</v>
      </c>
      <c r="K84" s="139">
        <v>0</v>
      </c>
      <c r="L84" s="140">
        <v>0</v>
      </c>
      <c r="M84" s="141" t="s">
        <v>1448</v>
      </c>
      <c r="N84" s="142" t="e">
        <v>#VALUE!</v>
      </c>
    </row>
    <row r="85" spans="1:14" hidden="1">
      <c r="A85" s="137" t="s">
        <v>4</v>
      </c>
      <c r="B85" s="137" t="s">
        <v>1453</v>
      </c>
      <c r="C85" s="143" t="s">
        <v>1252</v>
      </c>
      <c r="D85" s="139">
        <v>0</v>
      </c>
      <c r="E85" s="138">
        <v>0</v>
      </c>
      <c r="F85" s="139">
        <v>0</v>
      </c>
      <c r="G85" s="139">
        <v>0</v>
      </c>
      <c r="H85" s="139">
        <v>0</v>
      </c>
      <c r="I85" s="137">
        <v>0</v>
      </c>
      <c r="J85" s="139">
        <v>0</v>
      </c>
      <c r="K85" s="139">
        <v>0</v>
      </c>
      <c r="L85" s="140">
        <v>0</v>
      </c>
      <c r="M85" s="141" t="s">
        <v>1448</v>
      </c>
      <c r="N85" s="142" t="e">
        <v>#VALUE!</v>
      </c>
    </row>
    <row r="86" spans="1:14" hidden="1">
      <c r="A86" s="137" t="s">
        <v>4</v>
      </c>
      <c r="B86" s="137" t="s">
        <v>1453</v>
      </c>
      <c r="C86" s="143" t="s">
        <v>1253</v>
      </c>
      <c r="D86" s="139">
        <v>0</v>
      </c>
      <c r="E86" s="138">
        <v>0</v>
      </c>
      <c r="F86" s="139">
        <v>0</v>
      </c>
      <c r="G86" s="139">
        <v>0</v>
      </c>
      <c r="H86" s="139">
        <v>0</v>
      </c>
      <c r="I86" s="137">
        <v>0</v>
      </c>
      <c r="J86" s="139">
        <v>0</v>
      </c>
      <c r="K86" s="139">
        <v>0</v>
      </c>
      <c r="L86" s="140">
        <v>0</v>
      </c>
      <c r="M86" s="141" t="s">
        <v>1448</v>
      </c>
      <c r="N86" s="142" t="e">
        <v>#VALUE!</v>
      </c>
    </row>
    <row r="87" spans="1:14" hidden="1">
      <c r="A87" s="93" t="s">
        <v>4</v>
      </c>
      <c r="B87" s="39" t="s">
        <v>1202</v>
      </c>
      <c r="C87" s="94" t="s">
        <v>1248</v>
      </c>
      <c r="D87" s="95">
        <v>288</v>
      </c>
      <c r="E87" s="95">
        <v>6912</v>
      </c>
      <c r="F87" s="95"/>
      <c r="G87" s="95"/>
      <c r="H87" s="95">
        <v>23</v>
      </c>
      <c r="I87" s="95">
        <v>230</v>
      </c>
      <c r="J87" s="95">
        <v>10</v>
      </c>
      <c r="K87" s="95">
        <v>75</v>
      </c>
      <c r="L87" s="96">
        <f>E87+G87+I87+K87</f>
        <v>7217</v>
      </c>
      <c r="M87" s="97">
        <f t="shared" ref="M80:M93" si="0">IF(L87="","",IFERROR(L87/SUMIFS($L:$L,$A:$A,A87,$B:$B,B87),""))</f>
        <v>7.4823231799614323E-2</v>
      </c>
      <c r="N87" s="98">
        <f>M87*17</f>
        <v>1.2719949405934434</v>
      </c>
    </row>
    <row r="88" spans="1:14" hidden="1">
      <c r="A88" s="93" t="s">
        <v>4</v>
      </c>
      <c r="B88" s="39" t="s">
        <v>1202</v>
      </c>
      <c r="C88" s="94" t="s">
        <v>1247</v>
      </c>
      <c r="D88" s="95">
        <v>290</v>
      </c>
      <c r="E88" s="95">
        <v>4930</v>
      </c>
      <c r="F88" s="95"/>
      <c r="G88" s="95"/>
      <c r="H88" s="95">
        <v>383</v>
      </c>
      <c r="I88" s="95">
        <v>3645</v>
      </c>
      <c r="J88" s="95">
        <v>8</v>
      </c>
      <c r="K88" s="95">
        <v>75</v>
      </c>
      <c r="L88" s="96">
        <f t="shared" ref="L88:L114" si="1">E88+G88+I88+K88</f>
        <v>8650</v>
      </c>
      <c r="M88" s="97">
        <f t="shared" si="0"/>
        <v>8.9680054741120119E-2</v>
      </c>
      <c r="N88" s="98">
        <f t="shared" ref="N88:N114" si="2">M88*17</f>
        <v>1.524560930599042</v>
      </c>
    </row>
    <row r="89" spans="1:14" hidden="1">
      <c r="A89" s="93" t="s">
        <v>4</v>
      </c>
      <c r="B89" s="39" t="s">
        <v>1202</v>
      </c>
      <c r="C89" s="94" t="s">
        <v>1250</v>
      </c>
      <c r="D89" s="95">
        <v>246</v>
      </c>
      <c r="E89" s="95">
        <v>6396</v>
      </c>
      <c r="F89" s="95"/>
      <c r="G89" s="95"/>
      <c r="H89" s="95">
        <v>82</v>
      </c>
      <c r="I89" s="95">
        <v>1880</v>
      </c>
      <c r="J89" s="95">
        <v>39</v>
      </c>
      <c r="K89" s="95">
        <v>195</v>
      </c>
      <c r="L89" s="96">
        <f t="shared" si="1"/>
        <v>8471</v>
      </c>
      <c r="M89" s="97">
        <f t="shared" si="0"/>
        <v>8.7824247827980179E-2</v>
      </c>
      <c r="N89" s="98">
        <f t="shared" si="2"/>
        <v>1.4930122130756631</v>
      </c>
    </row>
    <row r="90" spans="1:14" hidden="1">
      <c r="A90" s="93" t="s">
        <v>4</v>
      </c>
      <c r="B90" s="39" t="s">
        <v>1202</v>
      </c>
      <c r="C90" s="94" t="s">
        <v>1249</v>
      </c>
      <c r="D90" s="95">
        <v>134</v>
      </c>
      <c r="E90" s="95">
        <v>2412</v>
      </c>
      <c r="F90" s="95"/>
      <c r="G90" s="95"/>
      <c r="H90" s="95">
        <v>18</v>
      </c>
      <c r="I90" s="95">
        <v>175</v>
      </c>
      <c r="J90" s="95">
        <v>26</v>
      </c>
      <c r="K90" s="95">
        <v>155</v>
      </c>
      <c r="L90" s="96">
        <f t="shared" si="1"/>
        <v>2742</v>
      </c>
      <c r="M90" s="97">
        <f t="shared" si="0"/>
        <v>2.8428058971115763E-2</v>
      </c>
      <c r="N90" s="98">
        <f t="shared" si="2"/>
        <v>0.48327700250896799</v>
      </c>
    </row>
    <row r="91" spans="1:14" hidden="1">
      <c r="A91" s="93" t="s">
        <v>4</v>
      </c>
      <c r="B91" s="39" t="s">
        <v>1202</v>
      </c>
      <c r="C91" s="99" t="s">
        <v>1251</v>
      </c>
      <c r="D91" s="95">
        <v>1837</v>
      </c>
      <c r="E91" s="95">
        <v>31229</v>
      </c>
      <c r="F91" s="100">
        <v>86</v>
      </c>
      <c r="G91" s="95">
        <v>860</v>
      </c>
      <c r="H91" s="95">
        <v>1244</v>
      </c>
      <c r="I91" s="95">
        <v>-5385</v>
      </c>
      <c r="J91" s="95">
        <v>0</v>
      </c>
      <c r="K91" s="95">
        <v>0</v>
      </c>
      <c r="L91" s="96">
        <f t="shared" si="1"/>
        <v>26704</v>
      </c>
      <c r="M91" s="97">
        <f t="shared" si="0"/>
        <v>0.2768573620585979</v>
      </c>
      <c r="N91" s="98">
        <f t="shared" si="2"/>
        <v>4.7065751549961643</v>
      </c>
    </row>
    <row r="92" spans="1:14" hidden="1">
      <c r="A92" s="93" t="s">
        <v>4</v>
      </c>
      <c r="B92" s="39" t="s">
        <v>1202</v>
      </c>
      <c r="C92" s="99" t="s">
        <v>1252</v>
      </c>
      <c r="D92" s="95">
        <v>1467</v>
      </c>
      <c r="E92" s="95">
        <v>39705</v>
      </c>
      <c r="F92" s="95"/>
      <c r="G92" s="95"/>
      <c r="H92" s="95">
        <v>61</v>
      </c>
      <c r="I92" s="95">
        <v>605</v>
      </c>
      <c r="J92" s="95">
        <v>5</v>
      </c>
      <c r="K92" s="95">
        <v>150</v>
      </c>
      <c r="L92" s="96">
        <f t="shared" si="1"/>
        <v>40460</v>
      </c>
      <c r="M92" s="97">
        <f t="shared" si="0"/>
        <v>0.41947456818794449</v>
      </c>
      <c r="N92" s="98">
        <f t="shared" si="2"/>
        <v>7.1310676591950566</v>
      </c>
    </row>
    <row r="93" spans="1:14" hidden="1">
      <c r="A93" s="93" t="s">
        <v>4</v>
      </c>
      <c r="B93" s="39" t="s">
        <v>1202</v>
      </c>
      <c r="C93" s="99" t="s">
        <v>1253</v>
      </c>
      <c r="D93" s="95">
        <v>170</v>
      </c>
      <c r="E93" s="95">
        <v>2210</v>
      </c>
      <c r="F93" s="95"/>
      <c r="G93" s="95"/>
      <c r="H93" s="95">
        <v>0</v>
      </c>
      <c r="I93" s="95">
        <v>0</v>
      </c>
      <c r="J93" s="95">
        <v>0</v>
      </c>
      <c r="K93" s="95">
        <v>0</v>
      </c>
      <c r="L93" s="96">
        <f t="shared" si="1"/>
        <v>2210</v>
      </c>
      <c r="M93" s="97">
        <f t="shared" si="0"/>
        <v>2.291247641362722E-2</v>
      </c>
      <c r="N93" s="98">
        <f t="shared" si="2"/>
        <v>0.38951209903166273</v>
      </c>
    </row>
    <row r="94" spans="1:14" hidden="1">
      <c r="A94" s="93" t="s">
        <v>4</v>
      </c>
      <c r="B94" s="39" t="s">
        <v>1203</v>
      </c>
      <c r="C94" s="94" t="s">
        <v>1248</v>
      </c>
      <c r="D94" s="95">
        <v>271</v>
      </c>
      <c r="E94" s="95">
        <v>6504</v>
      </c>
      <c r="F94" s="95"/>
      <c r="G94" s="95"/>
      <c r="H94" s="95">
        <v>25</v>
      </c>
      <c r="I94" s="95">
        <v>250</v>
      </c>
      <c r="J94" s="95">
        <v>5</v>
      </c>
      <c r="K94" s="95">
        <v>25</v>
      </c>
      <c r="L94" s="96">
        <f t="shared" si="1"/>
        <v>6779</v>
      </c>
      <c r="M94" s="97">
        <f>IF(L94="","",IFERROR(L94/SUMIFS($L:$L,$A:$A,A94,$B:$B,B94),""))</f>
        <v>7.3213668567478837E-2</v>
      </c>
      <c r="N94" s="98">
        <f t="shared" si="2"/>
        <v>1.2446323656471403</v>
      </c>
    </row>
    <row r="95" spans="1:14" hidden="1">
      <c r="A95" s="93" t="s">
        <v>4</v>
      </c>
      <c r="B95" s="39" t="s">
        <v>1203</v>
      </c>
      <c r="C95" s="94" t="s">
        <v>1247</v>
      </c>
      <c r="D95" s="95">
        <v>211</v>
      </c>
      <c r="E95" s="95">
        <v>3587</v>
      </c>
      <c r="F95" s="95"/>
      <c r="G95" s="95"/>
      <c r="H95" s="95">
        <v>401</v>
      </c>
      <c r="I95" s="95">
        <v>3805</v>
      </c>
      <c r="J95" s="95">
        <v>12</v>
      </c>
      <c r="K95" s="95">
        <v>160</v>
      </c>
      <c r="L95" s="96">
        <f t="shared" si="1"/>
        <v>7552</v>
      </c>
      <c r="M95" s="97">
        <f t="shared" ref="M95:M100" si="3">IF(L95="","",IFERROR(L95/SUMIFS($L:$L,$A:$A,A95,$B:$B,B95),""))</f>
        <v>8.1562121997580783E-2</v>
      </c>
      <c r="N95" s="98">
        <f t="shared" si="2"/>
        <v>1.3865560739588734</v>
      </c>
    </row>
    <row r="96" spans="1:14" hidden="1">
      <c r="A96" s="93" t="s">
        <v>4</v>
      </c>
      <c r="B96" s="39" t="s">
        <v>1203</v>
      </c>
      <c r="C96" s="94" t="s">
        <v>1250</v>
      </c>
      <c r="D96" s="95">
        <v>208</v>
      </c>
      <c r="E96" s="95">
        <v>5408</v>
      </c>
      <c r="F96" s="95"/>
      <c r="G96" s="95"/>
      <c r="H96" s="95">
        <v>96</v>
      </c>
      <c r="I96" s="95">
        <v>2240</v>
      </c>
      <c r="J96" s="95">
        <v>45</v>
      </c>
      <c r="K96" s="95">
        <v>225</v>
      </c>
      <c r="L96" s="96">
        <f t="shared" si="1"/>
        <v>7873</v>
      </c>
      <c r="M96" s="97">
        <f t="shared" si="3"/>
        <v>8.5028944185242789E-2</v>
      </c>
      <c r="N96" s="98">
        <f t="shared" si="2"/>
        <v>1.4454920511491274</v>
      </c>
    </row>
    <row r="97" spans="1:14" hidden="1">
      <c r="A97" s="93" t="s">
        <v>4</v>
      </c>
      <c r="B97" s="39" t="s">
        <v>1203</v>
      </c>
      <c r="C97" s="94" t="s">
        <v>1249</v>
      </c>
      <c r="D97" s="95">
        <v>129</v>
      </c>
      <c r="E97" s="95">
        <v>2322</v>
      </c>
      <c r="F97" s="95"/>
      <c r="G97" s="95"/>
      <c r="H97" s="95">
        <v>22</v>
      </c>
      <c r="I97" s="95">
        <v>205</v>
      </c>
      <c r="J97" s="95">
        <v>28</v>
      </c>
      <c r="K97" s="95">
        <v>140</v>
      </c>
      <c r="L97" s="96">
        <f t="shared" si="1"/>
        <v>2667</v>
      </c>
      <c r="M97" s="97">
        <f t="shared" si="3"/>
        <v>2.8803784344219804E-2</v>
      </c>
      <c r="N97" s="98">
        <f t="shared" si="2"/>
        <v>0.48966433385173669</v>
      </c>
    </row>
    <row r="98" spans="1:14" hidden="1">
      <c r="A98" s="93" t="s">
        <v>4</v>
      </c>
      <c r="B98" s="39" t="s">
        <v>1203</v>
      </c>
      <c r="C98" s="99" t="s">
        <v>1251</v>
      </c>
      <c r="D98" s="95">
        <v>1919</v>
      </c>
      <c r="E98" s="95">
        <v>32623</v>
      </c>
      <c r="F98" s="100">
        <v>67</v>
      </c>
      <c r="G98" s="95">
        <v>670</v>
      </c>
      <c r="H98" s="95">
        <v>1280</v>
      </c>
      <c r="I98" s="95">
        <v>-5563</v>
      </c>
      <c r="J98" s="95">
        <v>2</v>
      </c>
      <c r="K98" s="95">
        <v>10</v>
      </c>
      <c r="L98" s="96">
        <f t="shared" si="1"/>
        <v>27740</v>
      </c>
      <c r="M98" s="97">
        <f t="shared" si="3"/>
        <v>0.29959391740107139</v>
      </c>
      <c r="N98" s="98">
        <f t="shared" si="2"/>
        <v>5.0930965958182135</v>
      </c>
    </row>
    <row r="99" spans="1:14" hidden="1">
      <c r="A99" s="93" t="s">
        <v>4</v>
      </c>
      <c r="B99" s="39" t="s">
        <v>1203</v>
      </c>
      <c r="C99" s="99" t="s">
        <v>1252</v>
      </c>
      <c r="D99" s="95">
        <v>1354</v>
      </c>
      <c r="E99" s="95">
        <v>36726</v>
      </c>
      <c r="F99" s="95"/>
      <c r="G99" s="95"/>
      <c r="H99" s="95">
        <v>77</v>
      </c>
      <c r="I99" s="95">
        <v>710</v>
      </c>
      <c r="J99" s="95">
        <v>9</v>
      </c>
      <c r="K99" s="95">
        <v>270</v>
      </c>
      <c r="L99" s="96">
        <f t="shared" si="1"/>
        <v>37706</v>
      </c>
      <c r="M99" s="97">
        <f t="shared" si="3"/>
        <v>0.40722740625540005</v>
      </c>
      <c r="N99" s="98">
        <f t="shared" si="2"/>
        <v>6.9228659063418005</v>
      </c>
    </row>
    <row r="100" spans="1:14" hidden="1">
      <c r="A100" s="93" t="s">
        <v>4</v>
      </c>
      <c r="B100" s="39" t="s">
        <v>1203</v>
      </c>
      <c r="C100" s="99" t="s">
        <v>1253</v>
      </c>
      <c r="D100" s="95">
        <v>175</v>
      </c>
      <c r="E100" s="95">
        <v>2275</v>
      </c>
      <c r="F100" s="95"/>
      <c r="G100" s="95"/>
      <c r="H100" s="95">
        <v>0</v>
      </c>
      <c r="I100" s="95">
        <v>0</v>
      </c>
      <c r="J100" s="95">
        <v>0</v>
      </c>
      <c r="K100" s="95">
        <v>0</v>
      </c>
      <c r="L100" s="96">
        <f t="shared" si="1"/>
        <v>2275</v>
      </c>
      <c r="M100" s="97">
        <f t="shared" si="3"/>
        <v>2.4570157249006394E-2</v>
      </c>
      <c r="N100" s="98">
        <f t="shared" si="2"/>
        <v>0.41769267323310871</v>
      </c>
    </row>
    <row r="101" spans="1:14" hidden="1">
      <c r="A101" s="93" t="s">
        <v>4</v>
      </c>
      <c r="B101" s="39" t="s">
        <v>1204</v>
      </c>
      <c r="C101" s="99" t="s">
        <v>1248</v>
      </c>
      <c r="D101" s="29">
        <v>399</v>
      </c>
      <c r="E101" s="29">
        <v>9576</v>
      </c>
      <c r="F101" s="29"/>
      <c r="G101" s="29"/>
      <c r="H101" s="29">
        <v>75</v>
      </c>
      <c r="I101" s="29">
        <v>750</v>
      </c>
      <c r="J101" s="29">
        <v>12</v>
      </c>
      <c r="K101" s="29">
        <v>160</v>
      </c>
      <c r="L101" s="96">
        <f t="shared" si="1"/>
        <v>10486</v>
      </c>
      <c r="M101" s="97">
        <f>IF(L101="","",IFERROR(L101/SUMIFS($L:$L,$A:$A,A101,$B:$B,B101),""))</f>
        <v>9.8516521199936119E-2</v>
      </c>
      <c r="N101" s="98">
        <f t="shared" si="2"/>
        <v>1.6747808603989141</v>
      </c>
    </row>
    <row r="102" spans="1:14" hidden="1">
      <c r="A102" s="93" t="s">
        <v>4</v>
      </c>
      <c r="B102" s="39" t="s">
        <v>1204</v>
      </c>
      <c r="C102" s="99" t="s">
        <v>1247</v>
      </c>
      <c r="D102" s="29">
        <v>239</v>
      </c>
      <c r="E102" s="29">
        <v>4063</v>
      </c>
      <c r="F102" s="29"/>
      <c r="G102" s="29"/>
      <c r="H102" s="29">
        <v>440</v>
      </c>
      <c r="I102" s="29">
        <v>4125</v>
      </c>
      <c r="J102" s="29">
        <v>7</v>
      </c>
      <c r="K102" s="29">
        <v>95</v>
      </c>
      <c r="L102" s="96">
        <f t="shared" si="1"/>
        <v>8283</v>
      </c>
      <c r="M102" s="97">
        <f t="shared" ref="M102:M106" si="4">IF(L102="","",IFERROR(L102/SUMIFS($L:$L,$A:$A,A102,$B:$B,B102),""))</f>
        <v>7.7819220398538128E-2</v>
      </c>
      <c r="N102" s="98">
        <f t="shared" si="2"/>
        <v>1.3229267467751482</v>
      </c>
    </row>
    <row r="103" spans="1:14" hidden="1">
      <c r="A103" s="93" t="s">
        <v>4</v>
      </c>
      <c r="B103" s="39" t="s">
        <v>1204</v>
      </c>
      <c r="C103" s="99" t="s">
        <v>1250</v>
      </c>
      <c r="D103" s="29">
        <v>215</v>
      </c>
      <c r="E103" s="29">
        <v>5590</v>
      </c>
      <c r="F103" s="29"/>
      <c r="G103" s="29"/>
      <c r="H103" s="29">
        <v>88</v>
      </c>
      <c r="I103" s="29">
        <v>1960</v>
      </c>
      <c r="J103" s="29">
        <v>40</v>
      </c>
      <c r="K103" s="29">
        <v>200</v>
      </c>
      <c r="L103" s="96">
        <f t="shared" si="1"/>
        <v>7750</v>
      </c>
      <c r="M103" s="97">
        <f t="shared" si="4"/>
        <v>7.2811657381223041E-2</v>
      </c>
      <c r="N103" s="98">
        <f t="shared" si="2"/>
        <v>1.2377981754807916</v>
      </c>
    </row>
    <row r="104" spans="1:14" hidden="1">
      <c r="A104" s="93" t="s">
        <v>4</v>
      </c>
      <c r="B104" s="39" t="s">
        <v>1204</v>
      </c>
      <c r="C104" s="99" t="s">
        <v>1249</v>
      </c>
      <c r="D104" s="29">
        <v>141</v>
      </c>
      <c r="E104" s="29">
        <v>2538</v>
      </c>
      <c r="F104" s="29"/>
      <c r="G104" s="29"/>
      <c r="H104" s="29">
        <v>20</v>
      </c>
      <c r="I104" s="29">
        <v>195</v>
      </c>
      <c r="J104" s="29">
        <v>23</v>
      </c>
      <c r="K104" s="29">
        <v>115</v>
      </c>
      <c r="L104" s="96">
        <f t="shared" si="1"/>
        <v>2848</v>
      </c>
      <c r="M104" s="97">
        <f t="shared" si="4"/>
        <v>2.6757109706028806E-2</v>
      </c>
      <c r="N104" s="98">
        <f t="shared" si="2"/>
        <v>0.45487086500248969</v>
      </c>
    </row>
    <row r="105" spans="1:14" hidden="1">
      <c r="A105" s="93" t="s">
        <v>4</v>
      </c>
      <c r="B105" s="39" t="s">
        <v>1204</v>
      </c>
      <c r="C105" s="99" t="s">
        <v>1251</v>
      </c>
      <c r="D105" s="29">
        <v>2123</v>
      </c>
      <c r="E105" s="29">
        <v>36091</v>
      </c>
      <c r="F105" s="30">
        <v>61</v>
      </c>
      <c r="G105" s="29">
        <v>610</v>
      </c>
      <c r="H105" s="29">
        <v>1360</v>
      </c>
      <c r="I105" s="29">
        <v>-5729</v>
      </c>
      <c r="J105" s="29">
        <v>1</v>
      </c>
      <c r="K105" s="29">
        <v>5</v>
      </c>
      <c r="L105" s="96">
        <f t="shared" si="1"/>
        <v>30977</v>
      </c>
      <c r="M105" s="97">
        <f t="shared" si="4"/>
        <v>0.29103054331588984</v>
      </c>
      <c r="N105" s="98">
        <f t="shared" si="2"/>
        <v>4.9475192363701277</v>
      </c>
    </row>
    <row r="106" spans="1:14" hidden="1">
      <c r="A106" s="93" t="s">
        <v>4</v>
      </c>
      <c r="B106" s="39" t="s">
        <v>1204</v>
      </c>
      <c r="C106" s="99" t="s">
        <v>1252</v>
      </c>
      <c r="D106" s="29">
        <v>1568</v>
      </c>
      <c r="E106" s="29">
        <v>42641</v>
      </c>
      <c r="F106" s="29"/>
      <c r="G106" s="29"/>
      <c r="H106" s="29">
        <v>76</v>
      </c>
      <c r="I106" s="29">
        <v>760</v>
      </c>
      <c r="J106" s="29">
        <v>4</v>
      </c>
      <c r="K106" s="29">
        <v>120</v>
      </c>
      <c r="L106" s="96">
        <f t="shared" si="1"/>
        <v>43521</v>
      </c>
      <c r="M106" s="97">
        <f t="shared" si="4"/>
        <v>0.40888208269525267</v>
      </c>
      <c r="N106" s="98">
        <f t="shared" si="2"/>
        <v>6.9509954058192953</v>
      </c>
    </row>
    <row r="107" spans="1:14" hidden="1">
      <c r="A107" s="93" t="s">
        <v>4</v>
      </c>
      <c r="B107" s="39" t="s">
        <v>1204</v>
      </c>
      <c r="C107" s="99" t="s">
        <v>1253</v>
      </c>
      <c r="D107" s="29">
        <v>198</v>
      </c>
      <c r="E107" s="29">
        <v>2574</v>
      </c>
      <c r="F107" s="29"/>
      <c r="G107" s="29"/>
      <c r="H107" s="29">
        <v>0</v>
      </c>
      <c r="I107" s="29">
        <v>0</v>
      </c>
      <c r="J107" s="29">
        <v>0</v>
      </c>
      <c r="K107" s="29">
        <v>0</v>
      </c>
      <c r="L107" s="96">
        <f t="shared" si="1"/>
        <v>2574</v>
      </c>
      <c r="M107" s="97">
        <f>IF(L107="","",IFERROR(L107/SUMIFS($L:$L,$A:$A,A107,$B:$B,B107),""))</f>
        <v>2.4182865303131372E-2</v>
      </c>
      <c r="N107" s="98">
        <f t="shared" si="2"/>
        <v>0.4111087101532333</v>
      </c>
    </row>
    <row r="108" spans="1:14" hidden="1">
      <c r="A108" s="93" t="s">
        <v>4</v>
      </c>
      <c r="B108" s="39" t="s">
        <v>1205</v>
      </c>
      <c r="C108" s="99" t="s">
        <v>1248</v>
      </c>
      <c r="D108" s="29">
        <v>381</v>
      </c>
      <c r="E108" s="29">
        <v>9144</v>
      </c>
      <c r="F108" s="29"/>
      <c r="G108" s="29"/>
      <c r="H108" s="29">
        <v>40</v>
      </c>
      <c r="I108" s="29">
        <v>400</v>
      </c>
      <c r="J108" s="29">
        <v>11</v>
      </c>
      <c r="K108" s="29">
        <v>80</v>
      </c>
      <c r="L108" s="96">
        <f t="shared" si="1"/>
        <v>9624</v>
      </c>
      <c r="M108" s="97">
        <f t="shared" ref="M108:M114" si="5">IF(L108="","",IFERROR(L108/SUMIFS($L:$L,$A:$A,A108,$B:$B,B108),""))</f>
        <v>8.9055039419624685E-2</v>
      </c>
      <c r="N108" s="98">
        <f t="shared" si="2"/>
        <v>1.5139356701336197</v>
      </c>
    </row>
    <row r="109" spans="1:14" hidden="1">
      <c r="A109" s="93" t="s">
        <v>4</v>
      </c>
      <c r="B109" s="39" t="s">
        <v>1205</v>
      </c>
      <c r="C109" s="99" t="s">
        <v>1247</v>
      </c>
      <c r="D109" s="29">
        <v>252</v>
      </c>
      <c r="E109" s="29">
        <v>4284</v>
      </c>
      <c r="F109" s="29"/>
      <c r="G109" s="29"/>
      <c r="H109" s="29">
        <v>467</v>
      </c>
      <c r="I109" s="29">
        <v>4370</v>
      </c>
      <c r="J109" s="29">
        <v>8</v>
      </c>
      <c r="K109" s="29">
        <v>200</v>
      </c>
      <c r="L109" s="96">
        <f t="shared" si="1"/>
        <v>8854</v>
      </c>
      <c r="M109" s="97">
        <f t="shared" si="5"/>
        <v>8.1929895991412816E-2</v>
      </c>
      <c r="N109" s="98">
        <f t="shared" si="2"/>
        <v>1.3928082318540178</v>
      </c>
    </row>
    <row r="110" spans="1:14" hidden="1">
      <c r="A110" s="93" t="s">
        <v>4</v>
      </c>
      <c r="B110" s="39" t="s">
        <v>1205</v>
      </c>
      <c r="C110" s="99" t="s">
        <v>1250</v>
      </c>
      <c r="D110" s="29">
        <v>177</v>
      </c>
      <c r="E110" s="29">
        <v>4602</v>
      </c>
      <c r="F110" s="29"/>
      <c r="G110" s="29"/>
      <c r="H110" s="29">
        <v>99</v>
      </c>
      <c r="I110" s="29">
        <v>2450</v>
      </c>
      <c r="J110" s="29">
        <v>41</v>
      </c>
      <c r="K110" s="29">
        <v>230</v>
      </c>
      <c r="L110" s="96">
        <f t="shared" si="1"/>
        <v>7282</v>
      </c>
      <c r="M110" s="97">
        <f t="shared" si="5"/>
        <v>6.7383499278232228E-2</v>
      </c>
      <c r="N110" s="98">
        <f t="shared" si="2"/>
        <v>1.1455194877299479</v>
      </c>
    </row>
    <row r="111" spans="1:14" hidden="1">
      <c r="A111" s="93" t="s">
        <v>4</v>
      </c>
      <c r="B111" s="39" t="s">
        <v>1205</v>
      </c>
      <c r="C111" s="99" t="s">
        <v>1249</v>
      </c>
      <c r="D111" s="29">
        <v>138</v>
      </c>
      <c r="E111" s="29">
        <v>2484</v>
      </c>
      <c r="F111" s="29"/>
      <c r="G111" s="29"/>
      <c r="H111" s="29">
        <v>22</v>
      </c>
      <c r="I111" s="29">
        <v>220</v>
      </c>
      <c r="J111" s="29">
        <v>5</v>
      </c>
      <c r="K111" s="29">
        <v>25</v>
      </c>
      <c r="L111" s="96">
        <f t="shared" si="1"/>
        <v>2729</v>
      </c>
      <c r="M111" s="97">
        <f t="shared" si="5"/>
        <v>2.5252618721545692E-2</v>
      </c>
      <c r="N111" s="98">
        <f t="shared" si="2"/>
        <v>0.42929451826627679</v>
      </c>
    </row>
    <row r="112" spans="1:14" hidden="1">
      <c r="A112" s="93" t="s">
        <v>4</v>
      </c>
      <c r="B112" s="39" t="s">
        <v>1205</v>
      </c>
      <c r="C112" s="99" t="s">
        <v>1251</v>
      </c>
      <c r="D112" s="29">
        <v>2288</v>
      </c>
      <c r="E112" s="29">
        <v>38896</v>
      </c>
      <c r="F112" s="30">
        <v>59</v>
      </c>
      <c r="G112" s="29">
        <v>590</v>
      </c>
      <c r="H112" s="29">
        <v>1692</v>
      </c>
      <c r="I112" s="29">
        <v>-6246</v>
      </c>
      <c r="J112" s="29">
        <v>2</v>
      </c>
      <c r="K112" s="29">
        <v>10</v>
      </c>
      <c r="L112" s="96">
        <f t="shared" si="1"/>
        <v>33250</v>
      </c>
      <c r="M112" s="97">
        <f t="shared" si="5"/>
        <v>0.30767664803642153</v>
      </c>
      <c r="N112" s="98">
        <f t="shared" si="2"/>
        <v>5.2305030166191662</v>
      </c>
    </row>
    <row r="113" spans="1:14" hidden="1">
      <c r="A113" s="93" t="s">
        <v>4</v>
      </c>
      <c r="B113" s="39" t="s">
        <v>1205</v>
      </c>
      <c r="C113" s="99" t="s">
        <v>1252</v>
      </c>
      <c r="D113" s="29">
        <v>1559</v>
      </c>
      <c r="E113" s="29">
        <v>42470</v>
      </c>
      <c r="F113" s="29"/>
      <c r="G113" s="29"/>
      <c r="H113" s="29">
        <v>117</v>
      </c>
      <c r="I113" s="29">
        <v>1165</v>
      </c>
      <c r="J113" s="29">
        <v>4</v>
      </c>
      <c r="K113" s="29">
        <v>120</v>
      </c>
      <c r="L113" s="96">
        <f t="shared" si="1"/>
        <v>43755</v>
      </c>
      <c r="M113" s="97">
        <f t="shared" si="5"/>
        <v>0.40488396194988341</v>
      </c>
      <c r="N113" s="98">
        <f t="shared" si="2"/>
        <v>6.8830273531480177</v>
      </c>
    </row>
    <row r="114" spans="1:14" hidden="1">
      <c r="A114" s="93" t="s">
        <v>4</v>
      </c>
      <c r="B114" s="39" t="s">
        <v>1205</v>
      </c>
      <c r="C114" s="99" t="s">
        <v>1253</v>
      </c>
      <c r="D114" s="29">
        <v>198</v>
      </c>
      <c r="E114" s="29">
        <v>2574</v>
      </c>
      <c r="F114" s="29"/>
      <c r="G114" s="29"/>
      <c r="H114" s="29">
        <v>0</v>
      </c>
      <c r="I114" s="29">
        <v>0</v>
      </c>
      <c r="J114" s="29">
        <v>0</v>
      </c>
      <c r="K114" s="29">
        <v>0</v>
      </c>
      <c r="L114" s="96">
        <f t="shared" si="1"/>
        <v>2574</v>
      </c>
      <c r="M114" s="97">
        <f t="shared" si="5"/>
        <v>2.3818336602879669E-2</v>
      </c>
      <c r="N114" s="98">
        <f t="shared" si="2"/>
        <v>0.40491172224895439</v>
      </c>
    </row>
  </sheetData>
  <autoFilter ref="A2:N114" xr:uid="{65FE6D61-EE10-43A8-AADB-BC76383CE52B}">
    <filterColumn colId="0">
      <filters>
        <filter val="HAD"/>
      </filters>
    </filterColumn>
  </autoFilter>
  <phoneticPr fontId="3" type="noConversion"/>
  <conditionalFormatting sqref="C1:C2 C87:C1048576">
    <cfRule type="duplicateValues" dxfId="158" priority="6"/>
  </conditionalFormatting>
  <conditionalFormatting sqref="C3:C30">
    <cfRule type="duplicateValues" dxfId="106" priority="3"/>
  </conditionalFormatting>
  <conditionalFormatting sqref="C59:C86">
    <cfRule type="duplicateValues" dxfId="51" priority="2"/>
  </conditionalFormatting>
  <conditionalFormatting sqref="C31:C58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1"/>
  <sheetViews>
    <sheetView zoomScale="85" zoomScaleNormal="85" workbookViewId="0">
      <selection activeCell="A111" sqref="A111:O142"/>
    </sheetView>
  </sheetViews>
  <sheetFormatPr defaultColWidth="8.7265625" defaultRowHeight="14.5"/>
  <cols>
    <col min="1" max="1" width="8.7265625" style="68"/>
    <col min="2" max="2" width="12" style="68" customWidth="1"/>
    <col min="3" max="14" width="8.7265625" style="68"/>
    <col min="15" max="15" width="8.7265625" style="87"/>
    <col min="16" max="16384" width="8.7265625" style="68"/>
  </cols>
  <sheetData>
    <row r="1" spans="1:15" s="85" customFormat="1" ht="25.5" customHeight="1">
      <c r="A1" s="82" t="s">
        <v>120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4"/>
    </row>
    <row r="2" spans="1:15" ht="23.15" customHeight="1">
      <c r="A2" s="36" t="s">
        <v>5</v>
      </c>
      <c r="B2" s="36" t="s">
        <v>1213</v>
      </c>
      <c r="C2" s="66" t="s">
        <v>7</v>
      </c>
      <c r="D2" s="66" t="s">
        <v>8</v>
      </c>
      <c r="E2" s="36" t="s">
        <v>12</v>
      </c>
      <c r="F2" s="36" t="s">
        <v>13</v>
      </c>
      <c r="G2" s="36" t="s">
        <v>109</v>
      </c>
      <c r="H2" s="36" t="s">
        <v>110</v>
      </c>
      <c r="I2" s="36" t="s">
        <v>111</v>
      </c>
      <c r="J2" s="36" t="s">
        <v>112</v>
      </c>
      <c r="K2" s="36" t="s">
        <v>113</v>
      </c>
      <c r="L2" s="36" t="s">
        <v>114</v>
      </c>
      <c r="M2" s="36" t="s">
        <v>115</v>
      </c>
      <c r="N2" s="36" t="s">
        <v>116</v>
      </c>
      <c r="O2" s="67" t="s">
        <v>0</v>
      </c>
    </row>
    <row r="3" spans="1:15">
      <c r="A3" s="40" t="s">
        <v>2</v>
      </c>
      <c r="B3" s="13" t="s">
        <v>1331</v>
      </c>
      <c r="C3" s="13">
        <v>24</v>
      </c>
      <c r="D3" s="13">
        <v>19</v>
      </c>
      <c r="E3" s="13">
        <v>18</v>
      </c>
      <c r="F3" s="13">
        <v>17</v>
      </c>
      <c r="G3" s="40"/>
      <c r="H3" s="40"/>
      <c r="I3" s="40"/>
      <c r="J3" s="40"/>
      <c r="K3" s="40"/>
      <c r="L3" s="40"/>
      <c r="M3" s="40"/>
      <c r="N3" s="40"/>
      <c r="O3" s="86">
        <v>78</v>
      </c>
    </row>
    <row r="4" spans="1:15">
      <c r="A4" s="40" t="s">
        <v>2</v>
      </c>
      <c r="B4" s="13" t="s">
        <v>1332</v>
      </c>
      <c r="C4" s="13"/>
      <c r="D4" s="13"/>
      <c r="E4" s="13">
        <v>1</v>
      </c>
      <c r="F4" s="13">
        <v>1</v>
      </c>
      <c r="G4" s="40"/>
      <c r="H4" s="40"/>
      <c r="I4" s="40"/>
      <c r="J4" s="40"/>
      <c r="K4" s="40"/>
      <c r="L4" s="40"/>
      <c r="M4" s="40"/>
      <c r="N4" s="40"/>
      <c r="O4" s="86">
        <v>2</v>
      </c>
    </row>
    <row r="5" spans="1:15">
      <c r="A5" s="40" t="s">
        <v>2</v>
      </c>
      <c r="B5" s="13" t="s">
        <v>1333</v>
      </c>
      <c r="C5" s="13">
        <v>54</v>
      </c>
      <c r="D5" s="13">
        <v>66</v>
      </c>
      <c r="E5" s="13">
        <v>67</v>
      </c>
      <c r="F5" s="13">
        <v>81</v>
      </c>
      <c r="G5" s="40"/>
      <c r="H5" s="40"/>
      <c r="I5" s="40"/>
      <c r="J5" s="40"/>
      <c r="K5" s="40"/>
      <c r="L5" s="40"/>
      <c r="M5" s="40"/>
      <c r="N5" s="40"/>
      <c r="O5" s="86">
        <v>268</v>
      </c>
    </row>
    <row r="6" spans="1:15">
      <c r="A6" s="40" t="s">
        <v>2</v>
      </c>
      <c r="B6" s="13" t="s">
        <v>1334</v>
      </c>
      <c r="C6" s="13">
        <v>228</v>
      </c>
      <c r="D6" s="13">
        <v>222</v>
      </c>
      <c r="E6" s="13">
        <v>350</v>
      </c>
      <c r="F6" s="13">
        <v>327</v>
      </c>
      <c r="G6" s="40"/>
      <c r="H6" s="40"/>
      <c r="I6" s="40"/>
      <c r="J6" s="40"/>
      <c r="K6" s="40"/>
      <c r="L6" s="40"/>
      <c r="M6" s="40"/>
      <c r="N6" s="40"/>
      <c r="O6" s="86">
        <v>1127</v>
      </c>
    </row>
    <row r="7" spans="1:15">
      <c r="A7" s="40" t="s">
        <v>2</v>
      </c>
      <c r="B7" s="13" t="s">
        <v>1335</v>
      </c>
      <c r="C7" s="13">
        <v>1</v>
      </c>
      <c r="D7" s="13"/>
      <c r="E7" s="13">
        <v>1</v>
      </c>
      <c r="F7" s="13">
        <v>2</v>
      </c>
      <c r="G7" s="40"/>
      <c r="H7" s="40"/>
      <c r="I7" s="40"/>
      <c r="J7" s="40"/>
      <c r="K7" s="40"/>
      <c r="L7" s="40"/>
      <c r="M7" s="40"/>
      <c r="N7" s="40"/>
      <c r="O7" s="86">
        <v>4</v>
      </c>
    </row>
    <row r="8" spans="1:15">
      <c r="A8" s="40" t="s">
        <v>2</v>
      </c>
      <c r="B8" s="13" t="s">
        <v>1336</v>
      </c>
      <c r="C8" s="13">
        <v>21</v>
      </c>
      <c r="D8" s="13">
        <v>24</v>
      </c>
      <c r="E8" s="13">
        <v>28</v>
      </c>
      <c r="F8" s="13">
        <v>24</v>
      </c>
      <c r="G8" s="40"/>
      <c r="H8" s="40"/>
      <c r="I8" s="40"/>
      <c r="J8" s="40"/>
      <c r="K8" s="40"/>
      <c r="L8" s="40"/>
      <c r="M8" s="40"/>
      <c r="N8" s="40"/>
      <c r="O8" s="86">
        <v>97</v>
      </c>
    </row>
    <row r="9" spans="1:15">
      <c r="A9" s="40" t="s">
        <v>2</v>
      </c>
      <c r="B9" s="13" t="s">
        <v>1265</v>
      </c>
      <c r="C9" s="13">
        <v>1</v>
      </c>
      <c r="D9" s="13">
        <v>1</v>
      </c>
      <c r="E9" s="13">
        <v>1</v>
      </c>
      <c r="F9" s="13"/>
      <c r="G9" s="40"/>
      <c r="H9" s="40"/>
      <c r="I9" s="40"/>
      <c r="J9" s="40"/>
      <c r="K9" s="40"/>
      <c r="L9" s="40"/>
      <c r="M9" s="40"/>
      <c r="N9" s="40"/>
      <c r="O9" s="86">
        <v>3</v>
      </c>
    </row>
    <row r="10" spans="1:15">
      <c r="A10" s="40" t="s">
        <v>2</v>
      </c>
      <c r="B10" s="13" t="s">
        <v>1337</v>
      </c>
      <c r="C10" s="13"/>
      <c r="D10" s="13"/>
      <c r="E10" s="13">
        <v>2</v>
      </c>
      <c r="F10" s="13"/>
      <c r="G10" s="40"/>
      <c r="H10" s="40"/>
      <c r="I10" s="40"/>
      <c r="J10" s="40"/>
      <c r="K10" s="40"/>
      <c r="L10" s="40"/>
      <c r="M10" s="40"/>
      <c r="N10" s="40"/>
      <c r="O10" s="86">
        <v>2</v>
      </c>
    </row>
    <row r="11" spans="1:15">
      <c r="A11" s="40" t="s">
        <v>2</v>
      </c>
      <c r="B11" s="13" t="s">
        <v>1338</v>
      </c>
      <c r="C11" s="13">
        <v>35</v>
      </c>
      <c r="D11" s="13">
        <v>30</v>
      </c>
      <c r="E11" s="13">
        <v>29</v>
      </c>
      <c r="F11" s="13">
        <v>34</v>
      </c>
      <c r="G11" s="40"/>
      <c r="H11" s="40"/>
      <c r="I11" s="40"/>
      <c r="J11" s="40"/>
      <c r="K11" s="40"/>
      <c r="L11" s="40"/>
      <c r="M11" s="40"/>
      <c r="N11" s="40"/>
      <c r="O11" s="86">
        <v>128</v>
      </c>
    </row>
    <row r="12" spans="1:15">
      <c r="A12" s="40" t="s">
        <v>2</v>
      </c>
      <c r="B12" s="13" t="s">
        <v>1339</v>
      </c>
      <c r="C12" s="13"/>
      <c r="D12" s="13">
        <v>4</v>
      </c>
      <c r="E12" s="13">
        <v>1</v>
      </c>
      <c r="F12" s="13">
        <v>2</v>
      </c>
      <c r="G12" s="40"/>
      <c r="H12" s="40"/>
      <c r="I12" s="40"/>
      <c r="J12" s="40"/>
      <c r="K12" s="40"/>
      <c r="L12" s="40"/>
      <c r="M12" s="40"/>
      <c r="N12" s="40"/>
      <c r="O12" s="86">
        <v>7</v>
      </c>
    </row>
    <row r="13" spans="1:15">
      <c r="A13" s="40" t="s">
        <v>2</v>
      </c>
      <c r="B13" s="13" t="s">
        <v>1340</v>
      </c>
      <c r="C13" s="13"/>
      <c r="D13" s="13"/>
      <c r="E13" s="13"/>
      <c r="F13" s="13">
        <v>2</v>
      </c>
      <c r="G13" s="40"/>
      <c r="H13" s="40"/>
      <c r="I13" s="40"/>
      <c r="J13" s="40"/>
      <c r="K13" s="40"/>
      <c r="L13" s="40"/>
      <c r="M13" s="40"/>
      <c r="N13" s="40"/>
      <c r="O13" s="86">
        <v>2</v>
      </c>
    </row>
    <row r="14" spans="1:15">
      <c r="A14" s="40" t="s">
        <v>2</v>
      </c>
      <c r="B14" s="13" t="s">
        <v>1341</v>
      </c>
      <c r="C14" s="13">
        <v>113</v>
      </c>
      <c r="D14" s="13">
        <v>114</v>
      </c>
      <c r="E14" s="13">
        <v>125</v>
      </c>
      <c r="F14" s="13">
        <v>122</v>
      </c>
      <c r="G14" s="40"/>
      <c r="H14" s="40"/>
      <c r="I14" s="40"/>
      <c r="J14" s="40"/>
      <c r="K14" s="40"/>
      <c r="L14" s="40"/>
      <c r="M14" s="40"/>
      <c r="N14" s="40"/>
      <c r="O14" s="86">
        <v>474</v>
      </c>
    </row>
    <row r="15" spans="1:15">
      <c r="A15" s="40" t="s">
        <v>2</v>
      </c>
      <c r="B15" s="13" t="s">
        <v>1342</v>
      </c>
      <c r="C15" s="13">
        <v>12</v>
      </c>
      <c r="D15" s="13">
        <v>13</v>
      </c>
      <c r="E15" s="13">
        <v>2</v>
      </c>
      <c r="F15" s="13">
        <v>12</v>
      </c>
      <c r="G15" s="40"/>
      <c r="H15" s="40"/>
      <c r="I15" s="40"/>
      <c r="J15" s="40"/>
      <c r="K15" s="40"/>
      <c r="L15" s="40"/>
      <c r="M15" s="40"/>
      <c r="N15" s="40"/>
      <c r="O15" s="86">
        <v>39</v>
      </c>
    </row>
    <row r="16" spans="1:15">
      <c r="A16" s="40" t="s">
        <v>2</v>
      </c>
      <c r="B16" s="13" t="s">
        <v>1333</v>
      </c>
      <c r="C16" s="13">
        <v>166</v>
      </c>
      <c r="D16" s="13">
        <v>213</v>
      </c>
      <c r="E16" s="13">
        <v>173</v>
      </c>
      <c r="F16" s="13">
        <v>186</v>
      </c>
      <c r="G16" s="40"/>
      <c r="H16" s="40"/>
      <c r="I16" s="40"/>
      <c r="J16" s="40"/>
      <c r="K16" s="40"/>
      <c r="L16" s="40"/>
      <c r="M16" s="40"/>
      <c r="N16" s="40"/>
      <c r="O16" s="86">
        <v>738</v>
      </c>
    </row>
    <row r="17" spans="1:15">
      <c r="A17" s="40" t="s">
        <v>2</v>
      </c>
      <c r="B17" s="13" t="s">
        <v>1343</v>
      </c>
      <c r="C17" s="13"/>
      <c r="D17" s="13">
        <v>6</v>
      </c>
      <c r="E17" s="13">
        <v>3</v>
      </c>
      <c r="F17" s="13">
        <v>10</v>
      </c>
      <c r="G17" s="40"/>
      <c r="H17" s="40"/>
      <c r="I17" s="40"/>
      <c r="J17" s="40"/>
      <c r="K17" s="40"/>
      <c r="L17" s="40"/>
      <c r="M17" s="40"/>
      <c r="N17" s="40"/>
      <c r="O17" s="86">
        <v>19</v>
      </c>
    </row>
    <row r="18" spans="1:15">
      <c r="A18" s="40" t="s">
        <v>2</v>
      </c>
      <c r="B18" s="13" t="s">
        <v>1344</v>
      </c>
      <c r="C18" s="13">
        <v>165</v>
      </c>
      <c r="D18" s="13">
        <v>84</v>
      </c>
      <c r="E18" s="13">
        <v>112</v>
      </c>
      <c r="F18" s="13">
        <v>118</v>
      </c>
      <c r="G18" s="40"/>
      <c r="H18" s="40"/>
      <c r="I18" s="40"/>
      <c r="J18" s="40"/>
      <c r="K18" s="40"/>
      <c r="L18" s="40"/>
      <c r="M18" s="40"/>
      <c r="N18" s="40"/>
      <c r="O18" s="86">
        <v>479</v>
      </c>
    </row>
    <row r="19" spans="1:15">
      <c r="A19" s="40" t="s">
        <v>2</v>
      </c>
      <c r="B19" s="13" t="s">
        <v>1336</v>
      </c>
      <c r="C19" s="13">
        <v>196</v>
      </c>
      <c r="D19" s="13">
        <v>205</v>
      </c>
      <c r="E19" s="13">
        <v>196</v>
      </c>
      <c r="F19" s="13">
        <v>203</v>
      </c>
      <c r="G19" s="40"/>
      <c r="H19" s="40"/>
      <c r="I19" s="40"/>
      <c r="J19" s="40"/>
      <c r="K19" s="40"/>
      <c r="L19" s="40"/>
      <c r="M19" s="40"/>
      <c r="N19" s="40"/>
      <c r="O19" s="86">
        <v>800</v>
      </c>
    </row>
    <row r="20" spans="1:15">
      <c r="A20" s="40" t="s">
        <v>2</v>
      </c>
      <c r="B20" s="13" t="s">
        <v>1345</v>
      </c>
      <c r="C20" s="13">
        <v>16</v>
      </c>
      <c r="D20" s="13">
        <v>19</v>
      </c>
      <c r="E20" s="13">
        <v>36</v>
      </c>
      <c r="F20" s="13">
        <v>32</v>
      </c>
      <c r="G20" s="40"/>
      <c r="H20" s="40"/>
      <c r="I20" s="40"/>
      <c r="J20" s="40"/>
      <c r="K20" s="40"/>
      <c r="L20" s="40"/>
      <c r="M20" s="40"/>
      <c r="N20" s="40"/>
      <c r="O20" s="86">
        <v>103</v>
      </c>
    </row>
    <row r="21" spans="1:15">
      <c r="A21" s="40" t="s">
        <v>2</v>
      </c>
      <c r="B21" s="13" t="s">
        <v>1265</v>
      </c>
      <c r="C21" s="13">
        <v>3</v>
      </c>
      <c r="D21" s="13"/>
      <c r="E21" s="13">
        <v>1</v>
      </c>
      <c r="F21" s="13">
        <v>3</v>
      </c>
      <c r="G21" s="40"/>
      <c r="H21" s="40"/>
      <c r="I21" s="40"/>
      <c r="J21" s="40"/>
      <c r="K21" s="40"/>
      <c r="L21" s="40"/>
      <c r="M21" s="40"/>
      <c r="N21" s="40"/>
      <c r="O21" s="86">
        <v>7</v>
      </c>
    </row>
    <row r="22" spans="1:15">
      <c r="A22" s="40" t="s">
        <v>2</v>
      </c>
      <c r="B22" s="13" t="s">
        <v>1337</v>
      </c>
      <c r="C22" s="13">
        <v>4</v>
      </c>
      <c r="D22" s="13">
        <v>4</v>
      </c>
      <c r="E22" s="13"/>
      <c r="F22" s="13">
        <v>6</v>
      </c>
      <c r="G22" s="40"/>
      <c r="H22" s="40"/>
      <c r="I22" s="40"/>
      <c r="J22" s="40"/>
      <c r="K22" s="40"/>
      <c r="L22" s="40"/>
      <c r="M22" s="40"/>
      <c r="N22" s="40"/>
      <c r="O22" s="86">
        <v>14</v>
      </c>
    </row>
    <row r="23" spans="1:15">
      <c r="A23" s="40" t="s">
        <v>2</v>
      </c>
      <c r="B23" s="13" t="s">
        <v>1333</v>
      </c>
      <c r="C23" s="13"/>
      <c r="D23" s="13"/>
      <c r="E23" s="13">
        <v>1</v>
      </c>
      <c r="F23" s="13"/>
      <c r="G23" s="40"/>
      <c r="H23" s="40"/>
      <c r="I23" s="40"/>
      <c r="J23" s="40"/>
      <c r="K23" s="40"/>
      <c r="L23" s="40"/>
      <c r="M23" s="40"/>
      <c r="N23" s="40"/>
      <c r="O23" s="86">
        <v>1</v>
      </c>
    </row>
    <row r="24" spans="1:15">
      <c r="A24" s="40" t="s">
        <v>2</v>
      </c>
      <c r="B24" s="13" t="s">
        <v>1346</v>
      </c>
      <c r="C24" s="13">
        <v>1</v>
      </c>
      <c r="D24" s="13">
        <v>2</v>
      </c>
      <c r="E24" s="13">
        <v>2</v>
      </c>
      <c r="F24" s="13">
        <v>1</v>
      </c>
      <c r="G24" s="40"/>
      <c r="H24" s="40"/>
      <c r="I24" s="40"/>
      <c r="J24" s="40"/>
      <c r="K24" s="40"/>
      <c r="L24" s="40"/>
      <c r="M24" s="40"/>
      <c r="N24" s="40"/>
      <c r="O24" s="86">
        <v>6</v>
      </c>
    </row>
    <row r="25" spans="1:15">
      <c r="A25" s="40" t="s">
        <v>2</v>
      </c>
      <c r="B25" s="13" t="s">
        <v>1347</v>
      </c>
      <c r="C25" s="13">
        <v>1</v>
      </c>
      <c r="D25" s="13"/>
      <c r="E25" s="13">
        <v>6</v>
      </c>
      <c r="F25" s="13">
        <v>2</v>
      </c>
      <c r="G25" s="40"/>
      <c r="H25" s="40"/>
      <c r="I25" s="40"/>
      <c r="J25" s="40"/>
      <c r="K25" s="40"/>
      <c r="L25" s="40"/>
      <c r="M25" s="40"/>
      <c r="N25" s="40"/>
      <c r="O25" s="86">
        <v>9</v>
      </c>
    </row>
    <row r="26" spans="1:15">
      <c r="A26" s="40" t="s">
        <v>2</v>
      </c>
      <c r="B26" s="13" t="s">
        <v>1337</v>
      </c>
      <c r="C26" s="13"/>
      <c r="D26" s="13">
        <v>1</v>
      </c>
      <c r="E26" s="13">
        <v>1</v>
      </c>
      <c r="F26" s="13">
        <v>1</v>
      </c>
      <c r="G26" s="40"/>
      <c r="H26" s="40"/>
      <c r="I26" s="40"/>
      <c r="J26" s="40"/>
      <c r="K26" s="40"/>
      <c r="L26" s="40"/>
      <c r="M26" s="40"/>
      <c r="N26" s="40"/>
      <c r="O26" s="86">
        <v>3</v>
      </c>
    </row>
    <row r="27" spans="1:15">
      <c r="A27" s="40" t="s">
        <v>2</v>
      </c>
      <c r="B27" s="13" t="s">
        <v>1333</v>
      </c>
      <c r="C27" s="13">
        <v>8</v>
      </c>
      <c r="D27" s="13">
        <v>6</v>
      </c>
      <c r="E27" s="13">
        <v>5</v>
      </c>
      <c r="F27" s="13">
        <v>3</v>
      </c>
      <c r="G27" s="40"/>
      <c r="H27" s="40"/>
      <c r="I27" s="40"/>
      <c r="J27" s="40"/>
      <c r="K27" s="40"/>
      <c r="L27" s="40"/>
      <c r="M27" s="40"/>
      <c r="N27" s="40"/>
      <c r="O27" s="86">
        <v>22</v>
      </c>
    </row>
    <row r="28" spans="1:15">
      <c r="A28" s="40" t="s">
        <v>2</v>
      </c>
      <c r="B28" s="13" t="s">
        <v>1345</v>
      </c>
      <c r="C28" s="13"/>
      <c r="D28" s="13"/>
      <c r="E28" s="13">
        <v>2</v>
      </c>
      <c r="F28" s="13"/>
      <c r="G28" s="40"/>
      <c r="H28" s="40"/>
      <c r="I28" s="40"/>
      <c r="J28" s="40"/>
      <c r="K28" s="40"/>
      <c r="L28" s="40"/>
      <c r="M28" s="40"/>
      <c r="N28" s="40"/>
      <c r="O28" s="86">
        <v>2</v>
      </c>
    </row>
    <row r="29" spans="1:15">
      <c r="A29" s="40" t="s">
        <v>2</v>
      </c>
      <c r="B29" s="13" t="s">
        <v>1337</v>
      </c>
      <c r="C29" s="13">
        <v>6</v>
      </c>
      <c r="D29" s="13">
        <v>6</v>
      </c>
      <c r="E29" s="13">
        <v>10</v>
      </c>
      <c r="F29" s="13">
        <v>8</v>
      </c>
      <c r="G29" s="40"/>
      <c r="H29" s="40"/>
      <c r="I29" s="40"/>
      <c r="J29" s="40"/>
      <c r="K29" s="40"/>
      <c r="L29" s="40"/>
      <c r="M29" s="40"/>
      <c r="N29" s="40"/>
      <c r="O29" s="86">
        <v>30</v>
      </c>
    </row>
    <row r="30" spans="1:15">
      <c r="A30" s="40" t="s">
        <v>2</v>
      </c>
      <c r="B30" s="13" t="s">
        <v>1333</v>
      </c>
      <c r="C30" s="13">
        <v>128</v>
      </c>
      <c r="D30" s="13">
        <v>136</v>
      </c>
      <c r="E30" s="13">
        <v>154</v>
      </c>
      <c r="F30" s="13">
        <v>191</v>
      </c>
      <c r="G30" s="40"/>
      <c r="H30" s="40"/>
      <c r="I30" s="40"/>
      <c r="J30" s="40"/>
      <c r="K30" s="40"/>
      <c r="L30" s="40"/>
      <c r="M30" s="40"/>
      <c r="N30" s="40"/>
      <c r="O30" s="86">
        <v>609</v>
      </c>
    </row>
    <row r="31" spans="1:15">
      <c r="A31" s="40" t="s">
        <v>2</v>
      </c>
      <c r="B31" s="13" t="s">
        <v>1343</v>
      </c>
      <c r="C31" s="13">
        <v>1</v>
      </c>
      <c r="D31" s="13"/>
      <c r="E31" s="13"/>
      <c r="F31" s="13"/>
      <c r="G31" s="40"/>
      <c r="H31" s="40"/>
      <c r="I31" s="40"/>
      <c r="J31" s="40"/>
      <c r="K31" s="40"/>
      <c r="L31" s="40"/>
      <c r="M31" s="40"/>
      <c r="N31" s="40"/>
      <c r="O31" s="86">
        <v>1</v>
      </c>
    </row>
    <row r="32" spans="1:15">
      <c r="A32" s="40" t="s">
        <v>2</v>
      </c>
      <c r="B32" s="13" t="s">
        <v>1348</v>
      </c>
      <c r="C32" s="13">
        <v>27</v>
      </c>
      <c r="D32" s="13"/>
      <c r="E32" s="13"/>
      <c r="F32" s="13"/>
      <c r="G32" s="40"/>
      <c r="H32" s="40"/>
      <c r="I32" s="40"/>
      <c r="J32" s="40"/>
      <c r="K32" s="40"/>
      <c r="L32" s="40"/>
      <c r="M32" s="40"/>
      <c r="N32" s="40"/>
      <c r="O32" s="86">
        <v>27</v>
      </c>
    </row>
    <row r="33" spans="1:15">
      <c r="A33" s="40" t="s">
        <v>2</v>
      </c>
      <c r="B33" s="13" t="s">
        <v>1336</v>
      </c>
      <c r="C33" s="13">
        <v>19</v>
      </c>
      <c r="D33" s="13">
        <v>28</v>
      </c>
      <c r="E33" s="13">
        <v>20</v>
      </c>
      <c r="F33" s="13">
        <v>13</v>
      </c>
      <c r="G33" s="40"/>
      <c r="H33" s="40"/>
      <c r="I33" s="40"/>
      <c r="J33" s="40"/>
      <c r="K33" s="40"/>
      <c r="L33" s="40"/>
      <c r="M33" s="40"/>
      <c r="N33" s="40"/>
      <c r="O33" s="86">
        <v>80</v>
      </c>
    </row>
    <row r="34" spans="1:15">
      <c r="A34" s="40" t="s">
        <v>2</v>
      </c>
      <c r="B34" s="13" t="s">
        <v>1345</v>
      </c>
      <c r="C34" s="13">
        <v>2</v>
      </c>
      <c r="D34" s="13">
        <v>2</v>
      </c>
      <c r="E34" s="13">
        <v>2</v>
      </c>
      <c r="F34" s="13">
        <v>2</v>
      </c>
      <c r="G34" s="40"/>
      <c r="H34" s="40"/>
      <c r="I34" s="40"/>
      <c r="J34" s="40"/>
      <c r="K34" s="40"/>
      <c r="L34" s="40"/>
      <c r="M34" s="40"/>
      <c r="N34" s="40"/>
      <c r="O34" s="86">
        <v>8</v>
      </c>
    </row>
    <row r="35" spans="1:15">
      <c r="A35" s="40" t="s">
        <v>2</v>
      </c>
      <c r="B35" s="13" t="s">
        <v>1265</v>
      </c>
      <c r="C35" s="13">
        <v>23</v>
      </c>
      <c r="D35" s="13">
        <v>20</v>
      </c>
      <c r="E35" s="13">
        <v>23</v>
      </c>
      <c r="F35" s="13">
        <v>23</v>
      </c>
      <c r="G35" s="40"/>
      <c r="H35" s="40"/>
      <c r="I35" s="40"/>
      <c r="J35" s="40"/>
      <c r="K35" s="40"/>
      <c r="L35" s="40"/>
      <c r="M35" s="40"/>
      <c r="N35" s="40"/>
      <c r="O35" s="86">
        <v>89</v>
      </c>
    </row>
    <row r="36" spans="1:15">
      <c r="A36" s="40" t="s">
        <v>2</v>
      </c>
      <c r="B36" s="13" t="s">
        <v>1348</v>
      </c>
      <c r="C36" s="13">
        <v>4</v>
      </c>
      <c r="D36" s="13">
        <v>7</v>
      </c>
      <c r="E36" s="13">
        <v>3</v>
      </c>
      <c r="F36" s="13">
        <v>6</v>
      </c>
      <c r="G36" s="40"/>
      <c r="H36" s="40"/>
      <c r="I36" s="40"/>
      <c r="J36" s="40"/>
      <c r="K36" s="40"/>
      <c r="L36" s="40"/>
      <c r="M36" s="40"/>
      <c r="N36" s="40"/>
      <c r="O36" s="86">
        <v>20</v>
      </c>
    </row>
    <row r="37" spans="1:15">
      <c r="A37" s="40" t="s">
        <v>2</v>
      </c>
      <c r="B37" s="13" t="s">
        <v>1339</v>
      </c>
      <c r="C37" s="13">
        <v>61</v>
      </c>
      <c r="D37" s="13">
        <v>46</v>
      </c>
      <c r="E37" s="13">
        <v>51</v>
      </c>
      <c r="F37" s="13">
        <v>66</v>
      </c>
      <c r="G37" s="40"/>
      <c r="H37" s="40"/>
      <c r="I37" s="40"/>
      <c r="J37" s="40"/>
      <c r="K37" s="40"/>
      <c r="L37" s="40"/>
      <c r="M37" s="40"/>
      <c r="N37" s="40"/>
      <c r="O37" s="86">
        <v>224</v>
      </c>
    </row>
    <row r="38" spans="1:15">
      <c r="A38" s="40" t="s">
        <v>2</v>
      </c>
      <c r="B38" s="13" t="s">
        <v>1349</v>
      </c>
      <c r="C38" s="13">
        <v>8</v>
      </c>
      <c r="D38" s="13">
        <v>16</v>
      </c>
      <c r="E38" s="13">
        <v>5</v>
      </c>
      <c r="F38" s="13">
        <v>12</v>
      </c>
      <c r="G38" s="40"/>
      <c r="H38" s="40"/>
      <c r="I38" s="40"/>
      <c r="J38" s="40"/>
      <c r="K38" s="40"/>
      <c r="L38" s="40"/>
      <c r="M38" s="40"/>
      <c r="N38" s="40"/>
      <c r="O38" s="86">
        <v>41</v>
      </c>
    </row>
    <row r="39" spans="1:15">
      <c r="A39" s="40" t="s">
        <v>2</v>
      </c>
      <c r="B39" s="13" t="s">
        <v>1420</v>
      </c>
      <c r="C39" s="13">
        <v>2</v>
      </c>
      <c r="D39" s="13">
        <v>1</v>
      </c>
      <c r="E39" s="13">
        <v>1</v>
      </c>
      <c r="F39" s="13"/>
      <c r="G39" s="40"/>
      <c r="H39" s="40"/>
      <c r="I39" s="40"/>
      <c r="J39" s="40"/>
      <c r="K39" s="40"/>
      <c r="L39" s="40"/>
      <c r="M39" s="40"/>
      <c r="N39" s="40"/>
      <c r="O39" s="86">
        <v>4</v>
      </c>
    </row>
    <row r="40" spans="1:15">
      <c r="A40" s="40" t="s">
        <v>2</v>
      </c>
      <c r="B40" s="13" t="s">
        <v>1340</v>
      </c>
      <c r="C40" s="13">
        <v>1</v>
      </c>
      <c r="D40" s="13"/>
      <c r="E40" s="13"/>
      <c r="F40" s="13"/>
      <c r="G40" s="40"/>
      <c r="H40" s="40"/>
      <c r="I40" s="40"/>
      <c r="J40" s="40"/>
      <c r="K40" s="40"/>
      <c r="L40" s="40"/>
      <c r="M40" s="40"/>
      <c r="N40" s="40"/>
      <c r="O40" s="86">
        <v>1</v>
      </c>
    </row>
    <row r="41" spans="1:15">
      <c r="A41" s="40" t="s">
        <v>2</v>
      </c>
      <c r="B41" s="13" t="s">
        <v>1333</v>
      </c>
      <c r="C41" s="13">
        <v>188</v>
      </c>
      <c r="D41" s="13">
        <v>287</v>
      </c>
      <c r="E41" s="13">
        <v>339</v>
      </c>
      <c r="F41" s="13">
        <v>430</v>
      </c>
      <c r="G41" s="40"/>
      <c r="H41" s="40"/>
      <c r="I41" s="40"/>
      <c r="J41" s="40"/>
      <c r="K41" s="40"/>
      <c r="L41" s="40"/>
      <c r="M41" s="40"/>
      <c r="N41" s="40"/>
      <c r="O41" s="86">
        <v>1244</v>
      </c>
    </row>
    <row r="42" spans="1:15">
      <c r="A42" s="40" t="s">
        <v>2</v>
      </c>
      <c r="B42" s="13" t="s">
        <v>1350</v>
      </c>
      <c r="C42" s="13">
        <v>48</v>
      </c>
      <c r="D42" s="13"/>
      <c r="E42" s="13"/>
      <c r="F42" s="13"/>
      <c r="G42" s="40"/>
      <c r="H42" s="40"/>
      <c r="I42" s="40"/>
      <c r="J42" s="40"/>
      <c r="K42" s="40"/>
      <c r="L42" s="40"/>
      <c r="M42" s="40"/>
      <c r="N42" s="40"/>
      <c r="O42" s="86">
        <v>48</v>
      </c>
    </row>
    <row r="43" spans="1:15">
      <c r="A43" s="40" t="s">
        <v>2</v>
      </c>
      <c r="B43" s="13" t="s">
        <v>1336</v>
      </c>
      <c r="C43" s="13">
        <v>30</v>
      </c>
      <c r="D43" s="13">
        <v>15</v>
      </c>
      <c r="E43" s="13">
        <v>29</v>
      </c>
      <c r="F43" s="13">
        <v>29</v>
      </c>
      <c r="G43" s="40"/>
      <c r="H43" s="40"/>
      <c r="I43" s="40"/>
      <c r="J43" s="40"/>
      <c r="K43" s="40"/>
      <c r="L43" s="40"/>
      <c r="M43" s="40"/>
      <c r="N43" s="40"/>
      <c r="O43" s="86">
        <v>103</v>
      </c>
    </row>
    <row r="44" spans="1:15">
      <c r="A44" s="40" t="s">
        <v>2</v>
      </c>
      <c r="B44" s="13" t="s">
        <v>1345</v>
      </c>
      <c r="C44" s="13"/>
      <c r="D44" s="13">
        <v>1</v>
      </c>
      <c r="E44" s="13">
        <v>1</v>
      </c>
      <c r="F44" s="13"/>
      <c r="G44" s="40"/>
      <c r="H44" s="40"/>
      <c r="I44" s="40"/>
      <c r="J44" s="40"/>
      <c r="K44" s="40"/>
      <c r="L44" s="40"/>
      <c r="M44" s="40"/>
      <c r="N44" s="40"/>
      <c r="O44" s="86">
        <v>2</v>
      </c>
    </row>
    <row r="45" spans="1:15">
      <c r="A45" s="40" t="s">
        <v>2</v>
      </c>
      <c r="B45" s="13" t="s">
        <v>1265</v>
      </c>
      <c r="C45" s="13"/>
      <c r="D45" s="13">
        <v>2</v>
      </c>
      <c r="E45" s="13"/>
      <c r="F45" s="13">
        <v>1</v>
      </c>
      <c r="G45" s="40"/>
      <c r="H45" s="40"/>
      <c r="I45" s="40"/>
      <c r="J45" s="40"/>
      <c r="K45" s="40"/>
      <c r="L45" s="40"/>
      <c r="M45" s="40"/>
      <c r="N45" s="40"/>
      <c r="O45" s="86">
        <v>3</v>
      </c>
    </row>
    <row r="46" spans="1:15">
      <c r="A46" s="40" t="s">
        <v>2</v>
      </c>
      <c r="B46" s="13" t="s">
        <v>1351</v>
      </c>
      <c r="C46" s="13"/>
      <c r="D46" s="13">
        <v>1</v>
      </c>
      <c r="E46" s="13"/>
      <c r="F46" s="13">
        <v>1</v>
      </c>
      <c r="G46" s="40"/>
      <c r="H46" s="40"/>
      <c r="I46" s="40"/>
      <c r="J46" s="40"/>
      <c r="K46" s="40"/>
      <c r="L46" s="40"/>
      <c r="M46" s="40"/>
      <c r="N46" s="40"/>
      <c r="O46" s="86">
        <v>2</v>
      </c>
    </row>
    <row r="47" spans="1:15">
      <c r="A47" s="40" t="s">
        <v>2</v>
      </c>
      <c r="B47" s="13" t="s">
        <v>1350</v>
      </c>
      <c r="C47" s="13"/>
      <c r="D47" s="13"/>
      <c r="E47" s="13">
        <v>1</v>
      </c>
      <c r="F47" s="13">
        <v>1</v>
      </c>
      <c r="G47" s="40"/>
      <c r="H47" s="40"/>
      <c r="I47" s="40"/>
      <c r="J47" s="40"/>
      <c r="K47" s="40"/>
      <c r="L47" s="40"/>
      <c r="M47" s="40"/>
      <c r="N47" s="40"/>
      <c r="O47" s="86">
        <v>2</v>
      </c>
    </row>
    <row r="48" spans="1:15">
      <c r="A48" s="40" t="s">
        <v>2</v>
      </c>
      <c r="B48" s="13" t="s">
        <v>1339</v>
      </c>
      <c r="C48" s="13"/>
      <c r="D48" s="13"/>
      <c r="E48" s="13"/>
      <c r="F48" s="13">
        <v>13</v>
      </c>
      <c r="G48" s="40"/>
      <c r="H48" s="40"/>
      <c r="I48" s="40"/>
      <c r="J48" s="40"/>
      <c r="K48" s="40"/>
      <c r="L48" s="40"/>
      <c r="M48" s="40"/>
      <c r="N48" s="40"/>
      <c r="O48" s="86">
        <v>13</v>
      </c>
    </row>
    <row r="49" spans="1:15">
      <c r="A49" s="40" t="s">
        <v>2</v>
      </c>
      <c r="B49" s="13" t="s">
        <v>1349</v>
      </c>
      <c r="C49" s="13">
        <v>1</v>
      </c>
      <c r="D49" s="13">
        <v>2</v>
      </c>
      <c r="E49" s="13">
        <v>1</v>
      </c>
      <c r="F49" s="13">
        <v>2</v>
      </c>
      <c r="G49" s="40"/>
      <c r="H49" s="40"/>
      <c r="I49" s="40"/>
      <c r="J49" s="40"/>
      <c r="K49" s="40"/>
      <c r="L49" s="40"/>
      <c r="M49" s="40"/>
      <c r="N49" s="40"/>
      <c r="O49" s="86">
        <v>6</v>
      </c>
    </row>
    <row r="50" spans="1:15">
      <c r="A50" s="40" t="s">
        <v>2</v>
      </c>
      <c r="B50" s="13" t="s">
        <v>1340</v>
      </c>
      <c r="C50" s="13">
        <v>37</v>
      </c>
      <c r="D50" s="13">
        <v>33</v>
      </c>
      <c r="E50" s="13">
        <v>44</v>
      </c>
      <c r="F50" s="13">
        <v>24</v>
      </c>
      <c r="G50" s="40"/>
      <c r="H50" s="40"/>
      <c r="I50" s="40"/>
      <c r="J50" s="40"/>
      <c r="K50" s="40"/>
      <c r="L50" s="40"/>
      <c r="M50" s="40"/>
      <c r="N50" s="40"/>
      <c r="O50" s="86">
        <v>138</v>
      </c>
    </row>
    <row r="51" spans="1:15">
      <c r="A51" s="40" t="s">
        <v>2</v>
      </c>
      <c r="B51" s="13" t="s">
        <v>1333</v>
      </c>
      <c r="C51" s="13">
        <v>4</v>
      </c>
      <c r="D51" s="13">
        <v>1</v>
      </c>
      <c r="E51" s="13">
        <v>4</v>
      </c>
      <c r="F51" s="13"/>
      <c r="G51" s="40"/>
      <c r="H51" s="40"/>
      <c r="I51" s="40"/>
      <c r="J51" s="40"/>
      <c r="K51" s="40"/>
      <c r="L51" s="40"/>
      <c r="M51" s="40"/>
      <c r="N51" s="40"/>
      <c r="O51" s="86">
        <v>9</v>
      </c>
    </row>
    <row r="52" spans="1:15">
      <c r="A52" s="40" t="s">
        <v>2</v>
      </c>
      <c r="B52" s="13" t="s">
        <v>1343</v>
      </c>
      <c r="C52" s="13"/>
      <c r="D52" s="13">
        <v>1</v>
      </c>
      <c r="E52" s="13"/>
      <c r="F52" s="13"/>
      <c r="G52" s="40"/>
      <c r="H52" s="40"/>
      <c r="I52" s="40"/>
      <c r="J52" s="40"/>
      <c r="K52" s="40"/>
      <c r="L52" s="40"/>
      <c r="M52" s="40"/>
      <c r="N52" s="40"/>
      <c r="O52" s="86">
        <v>1</v>
      </c>
    </row>
    <row r="53" spans="1:15">
      <c r="A53" s="40" t="s">
        <v>2</v>
      </c>
      <c r="B53" s="13" t="s">
        <v>1339</v>
      </c>
      <c r="C53" s="13">
        <v>19</v>
      </c>
      <c r="D53" s="13">
        <v>11</v>
      </c>
      <c r="E53" s="13">
        <v>21</v>
      </c>
      <c r="F53" s="13">
        <v>5</v>
      </c>
      <c r="G53" s="40"/>
      <c r="H53" s="40"/>
      <c r="I53" s="40"/>
      <c r="J53" s="40"/>
      <c r="K53" s="40"/>
      <c r="L53" s="40"/>
      <c r="M53" s="40"/>
      <c r="N53" s="40"/>
      <c r="O53" s="86">
        <v>56</v>
      </c>
    </row>
    <row r="54" spans="1:15">
      <c r="A54" s="40" t="s">
        <v>2</v>
      </c>
      <c r="B54" s="13" t="s">
        <v>1352</v>
      </c>
      <c r="C54" s="13"/>
      <c r="D54" s="13"/>
      <c r="E54" s="13">
        <v>9</v>
      </c>
      <c r="F54" s="13">
        <v>9</v>
      </c>
      <c r="G54" s="40"/>
      <c r="H54" s="40"/>
      <c r="I54" s="40"/>
      <c r="J54" s="40"/>
      <c r="K54" s="40"/>
      <c r="L54" s="40"/>
      <c r="M54" s="40"/>
      <c r="N54" s="40"/>
      <c r="O54" s="86">
        <v>18</v>
      </c>
    </row>
    <row r="55" spans="1:15">
      <c r="A55" s="40" t="s">
        <v>2</v>
      </c>
      <c r="B55" s="13" t="s">
        <v>1333</v>
      </c>
      <c r="C55" s="13">
        <v>1</v>
      </c>
      <c r="D55" s="13">
        <v>2</v>
      </c>
      <c r="E55" s="13">
        <v>3</v>
      </c>
      <c r="F55" s="13">
        <v>6</v>
      </c>
      <c r="G55" s="40"/>
      <c r="H55" s="40"/>
      <c r="I55" s="40"/>
      <c r="J55" s="40"/>
      <c r="K55" s="40"/>
      <c r="L55" s="40"/>
      <c r="M55" s="40"/>
      <c r="N55" s="40"/>
      <c r="O55" s="86">
        <v>12</v>
      </c>
    </row>
    <row r="56" spans="1:15">
      <c r="A56" s="40" t="s">
        <v>2</v>
      </c>
      <c r="B56" s="13" t="s">
        <v>1353</v>
      </c>
      <c r="C56" s="13">
        <v>14</v>
      </c>
      <c r="D56" s="13">
        <v>12</v>
      </c>
      <c r="E56" s="13">
        <v>5</v>
      </c>
      <c r="F56" s="13">
        <v>3</v>
      </c>
      <c r="G56" s="40"/>
      <c r="H56" s="40"/>
      <c r="I56" s="40"/>
      <c r="J56" s="40"/>
      <c r="K56" s="40"/>
      <c r="L56" s="40"/>
      <c r="M56" s="40"/>
      <c r="N56" s="40"/>
      <c r="O56" s="86">
        <v>34</v>
      </c>
    </row>
    <row r="57" spans="1:15">
      <c r="A57" s="40" t="s">
        <v>2</v>
      </c>
      <c r="B57" s="13" t="s">
        <v>1336</v>
      </c>
      <c r="C57" s="13">
        <v>61</v>
      </c>
      <c r="D57" s="13">
        <v>68</v>
      </c>
      <c r="E57" s="13">
        <v>80</v>
      </c>
      <c r="F57" s="13">
        <v>74</v>
      </c>
      <c r="G57" s="40"/>
      <c r="H57" s="40"/>
      <c r="I57" s="40"/>
      <c r="J57" s="40"/>
      <c r="K57" s="40"/>
      <c r="L57" s="40"/>
      <c r="M57" s="40"/>
      <c r="N57" s="40"/>
      <c r="O57" s="86">
        <v>283</v>
      </c>
    </row>
    <row r="58" spans="1:15">
      <c r="A58" s="40" t="s">
        <v>2</v>
      </c>
      <c r="B58" s="13" t="s">
        <v>1354</v>
      </c>
      <c r="C58" s="13">
        <v>49</v>
      </c>
      <c r="D58" s="13">
        <v>32</v>
      </c>
      <c r="E58" s="13">
        <v>60</v>
      </c>
      <c r="F58" s="13">
        <v>30</v>
      </c>
      <c r="G58" s="40"/>
      <c r="H58" s="40"/>
      <c r="I58" s="40"/>
      <c r="J58" s="40"/>
      <c r="K58" s="40"/>
      <c r="L58" s="40"/>
      <c r="M58" s="40"/>
      <c r="N58" s="40"/>
      <c r="O58" s="86">
        <v>171</v>
      </c>
    </row>
    <row r="59" spans="1:15">
      <c r="A59" s="40" t="s">
        <v>2</v>
      </c>
      <c r="B59" s="13" t="s">
        <v>1265</v>
      </c>
      <c r="C59" s="13">
        <v>2</v>
      </c>
      <c r="D59" s="13"/>
      <c r="E59" s="13">
        <v>2</v>
      </c>
      <c r="F59" s="13"/>
      <c r="G59" s="40"/>
      <c r="H59" s="40"/>
      <c r="I59" s="40"/>
      <c r="J59" s="40"/>
      <c r="K59" s="40"/>
      <c r="L59" s="40"/>
      <c r="M59" s="40"/>
      <c r="N59" s="40"/>
      <c r="O59" s="86">
        <v>4</v>
      </c>
    </row>
    <row r="60" spans="1:15">
      <c r="A60" s="40" t="s">
        <v>2</v>
      </c>
      <c r="B60" s="13" t="s">
        <v>1337</v>
      </c>
      <c r="C60" s="13"/>
      <c r="D60" s="13"/>
      <c r="E60" s="13">
        <v>1</v>
      </c>
      <c r="F60" s="13"/>
      <c r="G60" s="40"/>
      <c r="H60" s="40"/>
      <c r="I60" s="40"/>
      <c r="J60" s="40"/>
      <c r="K60" s="40"/>
      <c r="L60" s="40"/>
      <c r="M60" s="40"/>
      <c r="N60" s="40"/>
      <c r="O60" s="86">
        <v>1</v>
      </c>
    </row>
    <row r="61" spans="1:15">
      <c r="A61" s="40" t="s">
        <v>2</v>
      </c>
      <c r="B61" s="13" t="s">
        <v>1336</v>
      </c>
      <c r="C61" s="13">
        <v>47</v>
      </c>
      <c r="D61" s="13">
        <v>59</v>
      </c>
      <c r="E61" s="13">
        <v>49</v>
      </c>
      <c r="F61" s="13">
        <v>68</v>
      </c>
      <c r="G61" s="40"/>
      <c r="H61" s="40"/>
      <c r="I61" s="40"/>
      <c r="J61" s="40"/>
      <c r="K61" s="40"/>
      <c r="L61" s="40"/>
      <c r="M61" s="40"/>
      <c r="N61" s="40"/>
      <c r="O61" s="86">
        <v>223</v>
      </c>
    </row>
    <row r="62" spans="1:15">
      <c r="A62" s="40" t="s">
        <v>2</v>
      </c>
      <c r="B62" s="13" t="s">
        <v>1355</v>
      </c>
      <c r="C62" s="13">
        <v>8</v>
      </c>
      <c r="D62" s="13">
        <v>10</v>
      </c>
      <c r="E62" s="13">
        <v>9</v>
      </c>
      <c r="F62" s="13">
        <v>9</v>
      </c>
      <c r="G62" s="40"/>
      <c r="H62" s="40"/>
      <c r="I62" s="40"/>
      <c r="J62" s="40"/>
      <c r="K62" s="40"/>
      <c r="L62" s="40"/>
      <c r="M62" s="40"/>
      <c r="N62" s="40"/>
      <c r="O62" s="86">
        <v>36</v>
      </c>
    </row>
    <row r="63" spans="1:15">
      <c r="A63" s="40" t="s">
        <v>2</v>
      </c>
      <c r="B63" s="13" t="s">
        <v>1339</v>
      </c>
      <c r="C63" s="13"/>
      <c r="D63" s="13">
        <v>1</v>
      </c>
      <c r="E63" s="13"/>
      <c r="F63" s="13"/>
      <c r="G63" s="40"/>
      <c r="H63" s="40"/>
      <c r="I63" s="40"/>
      <c r="J63" s="40"/>
      <c r="K63" s="40"/>
      <c r="L63" s="40"/>
      <c r="M63" s="40"/>
      <c r="N63" s="40"/>
      <c r="O63" s="86">
        <v>1</v>
      </c>
    </row>
    <row r="64" spans="1:15">
      <c r="A64" s="40" t="s">
        <v>2</v>
      </c>
      <c r="B64" s="13" t="s">
        <v>1356</v>
      </c>
      <c r="C64" s="13">
        <v>15</v>
      </c>
      <c r="D64" s="13">
        <v>10</v>
      </c>
      <c r="E64" s="13">
        <v>7</v>
      </c>
      <c r="F64" s="13">
        <v>10</v>
      </c>
      <c r="G64" s="40"/>
      <c r="H64" s="40"/>
      <c r="I64" s="40"/>
      <c r="J64" s="40"/>
      <c r="K64" s="40"/>
      <c r="L64" s="40"/>
      <c r="M64" s="40"/>
      <c r="N64" s="40"/>
      <c r="O64" s="86">
        <v>42</v>
      </c>
    </row>
    <row r="65" spans="1:15">
      <c r="A65" s="40" t="s">
        <v>2</v>
      </c>
      <c r="B65" s="13" t="s">
        <v>1333</v>
      </c>
      <c r="C65" s="13">
        <v>6</v>
      </c>
      <c r="D65" s="13">
        <v>19</v>
      </c>
      <c r="E65" s="13">
        <v>6</v>
      </c>
      <c r="F65" s="13">
        <v>11</v>
      </c>
      <c r="G65" s="40"/>
      <c r="H65" s="40"/>
      <c r="I65" s="40"/>
      <c r="J65" s="40"/>
      <c r="K65" s="40"/>
      <c r="L65" s="40"/>
      <c r="M65" s="40"/>
      <c r="N65" s="40"/>
      <c r="O65" s="86">
        <v>42</v>
      </c>
    </row>
    <row r="66" spans="1:15">
      <c r="A66" s="40" t="s">
        <v>2</v>
      </c>
      <c r="B66" s="13" t="s">
        <v>1336</v>
      </c>
      <c r="C66" s="13">
        <v>74</v>
      </c>
      <c r="D66" s="13">
        <v>77</v>
      </c>
      <c r="E66" s="13">
        <v>65</v>
      </c>
      <c r="F66" s="13">
        <v>102</v>
      </c>
      <c r="G66" s="40"/>
      <c r="H66" s="40"/>
      <c r="I66" s="40"/>
      <c r="J66" s="40"/>
      <c r="K66" s="40"/>
      <c r="L66" s="40"/>
      <c r="M66" s="40"/>
      <c r="N66" s="40"/>
      <c r="O66" s="86">
        <v>318</v>
      </c>
    </row>
    <row r="67" spans="1:15">
      <c r="A67" s="40" t="s">
        <v>2</v>
      </c>
      <c r="B67" s="13" t="s">
        <v>1345</v>
      </c>
      <c r="C67" s="13"/>
      <c r="D67" s="13">
        <v>3</v>
      </c>
      <c r="E67" s="13"/>
      <c r="F67" s="13">
        <v>2</v>
      </c>
      <c r="G67" s="40"/>
      <c r="H67" s="40"/>
      <c r="I67" s="40"/>
      <c r="J67" s="40"/>
      <c r="K67" s="40"/>
      <c r="L67" s="40"/>
      <c r="M67" s="40"/>
      <c r="N67" s="40"/>
      <c r="O67" s="86">
        <v>5</v>
      </c>
    </row>
    <row r="68" spans="1:15">
      <c r="A68" s="40" t="s">
        <v>2</v>
      </c>
      <c r="B68" s="13" t="s">
        <v>1354</v>
      </c>
      <c r="C68" s="13">
        <v>123</v>
      </c>
      <c r="D68" s="13">
        <v>114</v>
      </c>
      <c r="E68" s="13">
        <v>103</v>
      </c>
      <c r="F68" s="13">
        <v>95</v>
      </c>
      <c r="G68" s="40"/>
      <c r="H68" s="40"/>
      <c r="I68" s="40"/>
      <c r="J68" s="40"/>
      <c r="K68" s="40"/>
      <c r="L68" s="40"/>
      <c r="M68" s="40"/>
      <c r="N68" s="40"/>
      <c r="O68" s="86">
        <v>435</v>
      </c>
    </row>
    <row r="69" spans="1:15">
      <c r="A69" s="40" t="s">
        <v>2</v>
      </c>
      <c r="B69" s="13" t="s">
        <v>1357</v>
      </c>
      <c r="C69" s="13"/>
      <c r="D69" s="13"/>
      <c r="E69" s="13">
        <v>1</v>
      </c>
      <c r="F69" s="13">
        <v>1</v>
      </c>
      <c r="G69" s="40"/>
      <c r="H69" s="40"/>
      <c r="I69" s="40"/>
      <c r="J69" s="40"/>
      <c r="K69" s="40"/>
      <c r="L69" s="40"/>
      <c r="M69" s="40"/>
      <c r="N69" s="40"/>
      <c r="O69" s="86">
        <v>2</v>
      </c>
    </row>
    <row r="70" spans="1:15">
      <c r="A70" s="40" t="s">
        <v>2</v>
      </c>
      <c r="B70" s="13" t="s">
        <v>1265</v>
      </c>
      <c r="C70" s="13">
        <v>3</v>
      </c>
      <c r="D70" s="13"/>
      <c r="E70" s="13">
        <v>1</v>
      </c>
      <c r="F70" s="13"/>
      <c r="G70" s="40"/>
      <c r="H70" s="40"/>
      <c r="I70" s="40"/>
      <c r="J70" s="40"/>
      <c r="K70" s="40"/>
      <c r="L70" s="40"/>
      <c r="M70" s="40"/>
      <c r="N70" s="40"/>
      <c r="O70" s="86">
        <v>4</v>
      </c>
    </row>
    <row r="71" spans="1:15">
      <c r="A71" s="40" t="s">
        <v>2</v>
      </c>
      <c r="B71" s="13" t="s">
        <v>1355</v>
      </c>
      <c r="C71" s="13">
        <v>34</v>
      </c>
      <c r="D71" s="13">
        <v>25</v>
      </c>
      <c r="E71" s="13">
        <v>27</v>
      </c>
      <c r="F71" s="13">
        <v>26</v>
      </c>
      <c r="G71" s="40"/>
      <c r="H71" s="40"/>
      <c r="I71" s="40"/>
      <c r="J71" s="40"/>
      <c r="K71" s="40"/>
      <c r="L71" s="40"/>
      <c r="M71" s="40"/>
      <c r="N71" s="40"/>
      <c r="O71" s="86">
        <v>112</v>
      </c>
    </row>
    <row r="72" spans="1:15">
      <c r="A72" s="40" t="s">
        <v>2</v>
      </c>
      <c r="B72" s="13" t="s">
        <v>1339</v>
      </c>
      <c r="C72" s="13">
        <v>50</v>
      </c>
      <c r="D72" s="13">
        <v>53</v>
      </c>
      <c r="E72" s="13">
        <v>57</v>
      </c>
      <c r="F72" s="13">
        <v>56</v>
      </c>
      <c r="G72" s="40"/>
      <c r="H72" s="40"/>
      <c r="I72" s="40"/>
      <c r="J72" s="40"/>
      <c r="K72" s="40"/>
      <c r="L72" s="40"/>
      <c r="M72" s="40"/>
      <c r="N72" s="40"/>
      <c r="O72" s="86">
        <v>216</v>
      </c>
    </row>
    <row r="73" spans="1:15">
      <c r="A73" s="40" t="s">
        <v>2</v>
      </c>
      <c r="B73" s="13" t="s">
        <v>1356</v>
      </c>
      <c r="C73" s="13">
        <v>3</v>
      </c>
      <c r="D73" s="13">
        <v>5</v>
      </c>
      <c r="E73" s="13">
        <v>2</v>
      </c>
      <c r="F73" s="13">
        <v>3</v>
      </c>
      <c r="G73" s="40"/>
      <c r="H73" s="40"/>
      <c r="I73" s="40"/>
      <c r="J73" s="40"/>
      <c r="K73" s="40"/>
      <c r="L73" s="40"/>
      <c r="M73" s="40"/>
      <c r="N73" s="40"/>
      <c r="O73" s="86">
        <v>13</v>
      </c>
    </row>
    <row r="74" spans="1:15">
      <c r="A74" s="40" t="s">
        <v>2</v>
      </c>
      <c r="B74" s="13" t="s">
        <v>1421</v>
      </c>
      <c r="C74" s="13"/>
      <c r="D74" s="13"/>
      <c r="E74" s="13">
        <v>1</v>
      </c>
      <c r="F74" s="13"/>
      <c r="G74" s="40"/>
      <c r="H74" s="40"/>
      <c r="I74" s="40"/>
      <c r="J74" s="40"/>
      <c r="K74" s="40"/>
      <c r="L74" s="40"/>
      <c r="M74" s="40"/>
      <c r="N74" s="40"/>
      <c r="O74" s="86">
        <v>1</v>
      </c>
    </row>
    <row r="75" spans="1:15">
      <c r="A75" s="40" t="s">
        <v>2</v>
      </c>
      <c r="B75" s="13" t="s">
        <v>1336</v>
      </c>
      <c r="C75" s="13">
        <v>52</v>
      </c>
      <c r="D75" s="13">
        <v>51</v>
      </c>
      <c r="E75" s="13">
        <v>53</v>
      </c>
      <c r="F75" s="13">
        <v>55</v>
      </c>
      <c r="G75" s="40"/>
      <c r="H75" s="40"/>
      <c r="I75" s="40"/>
      <c r="J75" s="40"/>
      <c r="K75" s="40"/>
      <c r="L75" s="40"/>
      <c r="M75" s="40"/>
      <c r="N75" s="40"/>
      <c r="O75" s="86">
        <v>211</v>
      </c>
    </row>
    <row r="76" spans="1:15">
      <c r="A76" s="40" t="s">
        <v>2</v>
      </c>
      <c r="B76" s="13" t="s">
        <v>1345</v>
      </c>
      <c r="C76" s="13">
        <v>4</v>
      </c>
      <c r="D76" s="13">
        <v>1</v>
      </c>
      <c r="E76" s="13">
        <v>4</v>
      </c>
      <c r="F76" s="13">
        <v>1</v>
      </c>
      <c r="G76" s="40"/>
      <c r="H76" s="40"/>
      <c r="I76" s="40"/>
      <c r="J76" s="40"/>
      <c r="K76" s="40"/>
      <c r="L76" s="40"/>
      <c r="M76" s="40"/>
      <c r="N76" s="40"/>
      <c r="O76" s="86">
        <v>10</v>
      </c>
    </row>
    <row r="77" spans="1:15">
      <c r="A77" s="40" t="s">
        <v>2</v>
      </c>
      <c r="B77" s="13" t="s">
        <v>1358</v>
      </c>
      <c r="C77" s="13">
        <v>38</v>
      </c>
      <c r="D77" s="13">
        <v>44</v>
      </c>
      <c r="E77" s="13">
        <v>29</v>
      </c>
      <c r="F77" s="13">
        <v>40</v>
      </c>
      <c r="G77" s="40"/>
      <c r="H77" s="40"/>
      <c r="I77" s="40"/>
      <c r="J77" s="40"/>
      <c r="K77" s="40"/>
      <c r="L77" s="40"/>
      <c r="M77" s="40"/>
      <c r="N77" s="40"/>
      <c r="O77" s="86">
        <v>151</v>
      </c>
    </row>
    <row r="78" spans="1:15">
      <c r="A78" s="40" t="s">
        <v>2</v>
      </c>
      <c r="B78" s="13" t="s">
        <v>1359</v>
      </c>
      <c r="C78" s="13">
        <v>1</v>
      </c>
      <c r="D78" s="13">
        <v>2</v>
      </c>
      <c r="E78" s="13">
        <v>1</v>
      </c>
      <c r="F78" s="13">
        <v>1</v>
      </c>
      <c r="G78" s="40"/>
      <c r="H78" s="40"/>
      <c r="I78" s="40"/>
      <c r="J78" s="40"/>
      <c r="K78" s="40"/>
      <c r="L78" s="40"/>
      <c r="M78" s="40"/>
      <c r="N78" s="40"/>
      <c r="O78" s="86">
        <v>5</v>
      </c>
    </row>
    <row r="79" spans="1:15">
      <c r="A79" s="40" t="s">
        <v>2</v>
      </c>
      <c r="B79" s="13" t="s">
        <v>1265</v>
      </c>
      <c r="C79" s="13">
        <v>24</v>
      </c>
      <c r="D79" s="13">
        <v>22</v>
      </c>
      <c r="E79" s="13">
        <v>28</v>
      </c>
      <c r="F79" s="13">
        <v>25</v>
      </c>
      <c r="G79" s="40"/>
      <c r="H79" s="40"/>
      <c r="I79" s="40"/>
      <c r="J79" s="40"/>
      <c r="K79" s="40"/>
      <c r="L79" s="40"/>
      <c r="M79" s="40"/>
      <c r="N79" s="40"/>
      <c r="O79" s="86">
        <v>99</v>
      </c>
    </row>
    <row r="80" spans="1:15">
      <c r="A80" s="40" t="s">
        <v>2</v>
      </c>
      <c r="B80" s="13" t="s">
        <v>1337</v>
      </c>
      <c r="C80" s="13">
        <v>4</v>
      </c>
      <c r="D80" s="13">
        <v>6</v>
      </c>
      <c r="E80" s="13">
        <v>2</v>
      </c>
      <c r="F80" s="13">
        <v>5</v>
      </c>
      <c r="G80" s="40"/>
      <c r="H80" s="40"/>
      <c r="I80" s="40"/>
      <c r="J80" s="40"/>
      <c r="K80" s="40"/>
      <c r="L80" s="40"/>
      <c r="M80" s="40"/>
      <c r="N80" s="40"/>
      <c r="O80" s="86">
        <v>17</v>
      </c>
    </row>
    <row r="81" spans="1:15">
      <c r="A81" s="40" t="s">
        <v>2</v>
      </c>
      <c r="B81" s="13" t="s">
        <v>1360</v>
      </c>
      <c r="C81" s="13">
        <v>43</v>
      </c>
      <c r="D81" s="13">
        <v>35</v>
      </c>
      <c r="E81" s="13">
        <v>53</v>
      </c>
      <c r="F81" s="13">
        <v>52</v>
      </c>
      <c r="G81" s="40"/>
      <c r="H81" s="40"/>
      <c r="I81" s="40"/>
      <c r="J81" s="40"/>
      <c r="K81" s="40"/>
      <c r="L81" s="40"/>
      <c r="M81" s="40"/>
      <c r="N81" s="40"/>
      <c r="O81" s="86">
        <v>183</v>
      </c>
    </row>
    <row r="82" spans="1:15">
      <c r="A82" s="40" t="s">
        <v>2</v>
      </c>
      <c r="B82" s="13" t="s">
        <v>1339</v>
      </c>
      <c r="C82" s="13">
        <v>5</v>
      </c>
      <c r="D82" s="13">
        <v>11</v>
      </c>
      <c r="E82" s="13">
        <v>8</v>
      </c>
      <c r="F82" s="13">
        <v>9</v>
      </c>
      <c r="G82" s="40"/>
      <c r="H82" s="40"/>
      <c r="I82" s="40"/>
      <c r="J82" s="40"/>
      <c r="K82" s="40"/>
      <c r="L82" s="40"/>
      <c r="M82" s="40"/>
      <c r="N82" s="40"/>
      <c r="O82" s="86">
        <v>33</v>
      </c>
    </row>
    <row r="83" spans="1:15">
      <c r="A83" s="40" t="s">
        <v>2</v>
      </c>
      <c r="B83" s="13" t="s">
        <v>1333</v>
      </c>
      <c r="C83" s="13">
        <v>10</v>
      </c>
      <c r="D83" s="13">
        <v>7</v>
      </c>
      <c r="E83" s="13">
        <v>7</v>
      </c>
      <c r="F83" s="13">
        <v>12</v>
      </c>
      <c r="G83" s="40"/>
      <c r="H83" s="40"/>
      <c r="I83" s="40"/>
      <c r="J83" s="40"/>
      <c r="K83" s="40"/>
      <c r="L83" s="40"/>
      <c r="M83" s="40"/>
      <c r="N83" s="40"/>
      <c r="O83" s="86">
        <v>36</v>
      </c>
    </row>
    <row r="84" spans="1:15">
      <c r="A84" s="40" t="s">
        <v>2</v>
      </c>
      <c r="B84" s="13" t="s">
        <v>1361</v>
      </c>
      <c r="C84" s="13">
        <v>2</v>
      </c>
      <c r="D84" s="13">
        <v>3</v>
      </c>
      <c r="E84" s="13"/>
      <c r="F84" s="13">
        <v>2</v>
      </c>
      <c r="G84" s="40"/>
      <c r="H84" s="40"/>
      <c r="I84" s="40"/>
      <c r="J84" s="40"/>
      <c r="K84" s="40"/>
      <c r="L84" s="40"/>
      <c r="M84" s="40"/>
      <c r="N84" s="40"/>
      <c r="O84" s="86">
        <v>7</v>
      </c>
    </row>
    <row r="85" spans="1:15">
      <c r="A85" s="40" t="s">
        <v>2</v>
      </c>
      <c r="B85" s="13" t="s">
        <v>1336</v>
      </c>
      <c r="C85" s="13">
        <v>41</v>
      </c>
      <c r="D85" s="13">
        <v>43</v>
      </c>
      <c r="E85" s="13">
        <v>42</v>
      </c>
      <c r="F85" s="13">
        <v>47</v>
      </c>
      <c r="G85" s="40"/>
      <c r="H85" s="40"/>
      <c r="I85" s="40"/>
      <c r="J85" s="40"/>
      <c r="K85" s="40"/>
      <c r="L85" s="40"/>
      <c r="M85" s="40"/>
      <c r="N85" s="40"/>
      <c r="O85" s="86">
        <v>173</v>
      </c>
    </row>
    <row r="86" spans="1:15">
      <c r="A86" s="40" t="s">
        <v>2</v>
      </c>
      <c r="B86" s="13" t="s">
        <v>1345</v>
      </c>
      <c r="C86" s="13">
        <v>23</v>
      </c>
      <c r="D86" s="13">
        <v>20</v>
      </c>
      <c r="E86" s="13">
        <v>20</v>
      </c>
      <c r="F86" s="13">
        <v>27</v>
      </c>
      <c r="G86" s="40"/>
      <c r="H86" s="40"/>
      <c r="I86" s="40"/>
      <c r="J86" s="40"/>
      <c r="K86" s="40"/>
      <c r="L86" s="40"/>
      <c r="M86" s="40"/>
      <c r="N86" s="40"/>
      <c r="O86" s="86">
        <v>90</v>
      </c>
    </row>
    <row r="87" spans="1:15">
      <c r="A87" s="40" t="s">
        <v>2</v>
      </c>
      <c r="B87" s="13" t="s">
        <v>1358</v>
      </c>
      <c r="C87" s="13">
        <v>19</v>
      </c>
      <c r="D87" s="13">
        <v>17</v>
      </c>
      <c r="E87" s="13">
        <v>26</v>
      </c>
      <c r="F87" s="13">
        <v>18</v>
      </c>
      <c r="G87" s="40"/>
      <c r="H87" s="40"/>
      <c r="I87" s="40"/>
      <c r="J87" s="40"/>
      <c r="K87" s="40"/>
      <c r="L87" s="40"/>
      <c r="M87" s="40"/>
      <c r="N87" s="40"/>
      <c r="O87" s="86">
        <v>80</v>
      </c>
    </row>
    <row r="88" spans="1:15">
      <c r="A88" s="40" t="s">
        <v>2</v>
      </c>
      <c r="B88" s="13" t="s">
        <v>1265</v>
      </c>
      <c r="C88" s="13">
        <v>5</v>
      </c>
      <c r="D88" s="13">
        <v>5</v>
      </c>
      <c r="E88" s="13">
        <v>6</v>
      </c>
      <c r="F88" s="13">
        <v>7</v>
      </c>
      <c r="G88" s="40"/>
      <c r="H88" s="40"/>
      <c r="I88" s="40"/>
      <c r="J88" s="40"/>
      <c r="K88" s="40"/>
      <c r="L88" s="40"/>
      <c r="M88" s="40"/>
      <c r="N88" s="40"/>
      <c r="O88" s="86">
        <v>23</v>
      </c>
    </row>
    <row r="89" spans="1:15">
      <c r="A89" s="40" t="s">
        <v>2</v>
      </c>
      <c r="B89" s="13" t="s">
        <v>1337</v>
      </c>
      <c r="C89" s="13"/>
      <c r="D89" s="13">
        <v>1</v>
      </c>
      <c r="E89" s="13"/>
      <c r="F89" s="13"/>
      <c r="G89" s="40"/>
      <c r="H89" s="40"/>
      <c r="I89" s="40"/>
      <c r="J89" s="40"/>
      <c r="K89" s="40"/>
      <c r="L89" s="40"/>
      <c r="M89" s="40"/>
      <c r="N89" s="40"/>
      <c r="O89" s="86">
        <v>1</v>
      </c>
    </row>
    <row r="90" spans="1:15">
      <c r="A90" s="40" t="s">
        <v>2</v>
      </c>
      <c r="B90" s="13" t="s">
        <v>1360</v>
      </c>
      <c r="C90" s="13">
        <v>31</v>
      </c>
      <c r="D90" s="13">
        <v>28</v>
      </c>
      <c r="E90" s="13">
        <v>32</v>
      </c>
      <c r="F90" s="13">
        <v>25</v>
      </c>
      <c r="G90" s="40"/>
      <c r="H90" s="40"/>
      <c r="I90" s="40"/>
      <c r="J90" s="40"/>
      <c r="K90" s="40"/>
      <c r="L90" s="40"/>
      <c r="M90" s="40"/>
      <c r="N90" s="40"/>
      <c r="O90" s="86">
        <v>116</v>
      </c>
    </row>
    <row r="91" spans="1:15">
      <c r="A91" s="40" t="s">
        <v>2</v>
      </c>
      <c r="B91" s="13" t="s">
        <v>1339</v>
      </c>
      <c r="C91" s="13"/>
      <c r="D91" s="13"/>
      <c r="E91" s="13">
        <v>1</v>
      </c>
      <c r="F91" s="13"/>
      <c r="G91" s="40"/>
      <c r="H91" s="40"/>
      <c r="I91" s="40"/>
      <c r="J91" s="40"/>
      <c r="K91" s="40"/>
      <c r="L91" s="40"/>
      <c r="M91" s="40"/>
      <c r="N91" s="40"/>
      <c r="O91" s="86">
        <v>1</v>
      </c>
    </row>
    <row r="92" spans="1:15">
      <c r="A92" s="40" t="s">
        <v>1</v>
      </c>
      <c r="B92" s="78" t="s">
        <v>1255</v>
      </c>
      <c r="C92" s="29">
        <v>24</v>
      </c>
      <c r="D92" s="29">
        <v>19</v>
      </c>
      <c r="E92" s="29">
        <v>18</v>
      </c>
      <c r="F92" s="29">
        <v>17</v>
      </c>
      <c r="G92" s="40"/>
      <c r="H92" s="40"/>
      <c r="I92" s="40"/>
      <c r="J92" s="40"/>
      <c r="K92" s="40"/>
      <c r="L92" s="40"/>
      <c r="M92" s="40"/>
      <c r="N92" s="40"/>
      <c r="O92" s="86">
        <v>78</v>
      </c>
    </row>
    <row r="93" spans="1:15">
      <c r="A93" s="40" t="s">
        <v>1</v>
      </c>
      <c r="B93" s="78" t="s">
        <v>1256</v>
      </c>
      <c r="C93" s="29"/>
      <c r="D93" s="29"/>
      <c r="E93" s="29">
        <v>1</v>
      </c>
      <c r="F93" s="29">
        <v>1</v>
      </c>
      <c r="G93" s="40"/>
      <c r="H93" s="40"/>
      <c r="I93" s="40"/>
      <c r="J93" s="40"/>
      <c r="K93" s="40"/>
      <c r="L93" s="40"/>
      <c r="M93" s="40"/>
      <c r="N93" s="40"/>
      <c r="O93" s="86">
        <v>2</v>
      </c>
    </row>
    <row r="94" spans="1:15">
      <c r="A94" s="40" t="s">
        <v>1</v>
      </c>
      <c r="B94" s="78" t="s">
        <v>1263</v>
      </c>
      <c r="C94" s="29">
        <v>54</v>
      </c>
      <c r="D94" s="29">
        <v>66</v>
      </c>
      <c r="E94" s="29">
        <v>67</v>
      </c>
      <c r="F94" s="29">
        <v>81</v>
      </c>
      <c r="G94" s="40"/>
      <c r="H94" s="40"/>
      <c r="I94" s="40"/>
      <c r="J94" s="40"/>
      <c r="K94" s="40"/>
      <c r="L94" s="40"/>
      <c r="M94" s="40"/>
      <c r="N94" s="40"/>
      <c r="O94" s="86">
        <v>268</v>
      </c>
    </row>
    <row r="95" spans="1:15">
      <c r="A95" s="40" t="s">
        <v>1</v>
      </c>
      <c r="B95" s="78" t="s">
        <v>1257</v>
      </c>
      <c r="C95" s="29">
        <v>228</v>
      </c>
      <c r="D95" s="29">
        <v>222</v>
      </c>
      <c r="E95" s="29">
        <v>350</v>
      </c>
      <c r="F95" s="29">
        <v>327</v>
      </c>
      <c r="G95" s="40"/>
      <c r="H95" s="40"/>
      <c r="I95" s="40"/>
      <c r="J95" s="40"/>
      <c r="K95" s="40"/>
      <c r="L95" s="40"/>
      <c r="M95" s="40"/>
      <c r="N95" s="40"/>
      <c r="O95" s="86">
        <v>1127</v>
      </c>
    </row>
    <row r="96" spans="1:15">
      <c r="A96" s="40" t="s">
        <v>1</v>
      </c>
      <c r="B96" s="78" t="s">
        <v>1258</v>
      </c>
      <c r="C96" s="29">
        <v>1</v>
      </c>
      <c r="D96" s="29"/>
      <c r="E96" s="29">
        <v>1</v>
      </c>
      <c r="F96" s="29">
        <v>2</v>
      </c>
      <c r="G96" s="40"/>
      <c r="H96" s="40"/>
      <c r="I96" s="40"/>
      <c r="J96" s="40"/>
      <c r="K96" s="40"/>
      <c r="L96" s="40"/>
      <c r="M96" s="40"/>
      <c r="N96" s="40"/>
      <c r="O96" s="86">
        <v>4</v>
      </c>
    </row>
    <row r="97" spans="1:15">
      <c r="A97" s="40" t="s">
        <v>1</v>
      </c>
      <c r="B97" s="78" t="s">
        <v>1264</v>
      </c>
      <c r="C97" s="29">
        <v>21</v>
      </c>
      <c r="D97" s="29">
        <v>24</v>
      </c>
      <c r="E97" s="29">
        <v>28</v>
      </c>
      <c r="F97" s="29">
        <v>24</v>
      </c>
      <c r="G97" s="40"/>
      <c r="H97" s="40"/>
      <c r="I97" s="40"/>
      <c r="J97" s="40"/>
      <c r="K97" s="40"/>
      <c r="L97" s="40"/>
      <c r="M97" s="40"/>
      <c r="N97" s="40"/>
      <c r="O97" s="86">
        <v>97</v>
      </c>
    </row>
    <row r="98" spans="1:15">
      <c r="A98" s="40" t="s">
        <v>1</v>
      </c>
      <c r="B98" s="78" t="s">
        <v>1265</v>
      </c>
      <c r="C98" s="29">
        <v>1</v>
      </c>
      <c r="D98" s="29">
        <v>1</v>
      </c>
      <c r="E98" s="29">
        <v>1</v>
      </c>
      <c r="F98" s="29"/>
      <c r="G98" s="40"/>
      <c r="H98" s="40"/>
      <c r="I98" s="40"/>
      <c r="J98" s="40"/>
      <c r="K98" s="40"/>
      <c r="L98" s="40"/>
      <c r="M98" s="40"/>
      <c r="N98" s="40"/>
      <c r="O98" s="86">
        <v>3</v>
      </c>
    </row>
    <row r="99" spans="1:15">
      <c r="A99" s="40" t="s">
        <v>1</v>
      </c>
      <c r="B99" s="78" t="s">
        <v>1266</v>
      </c>
      <c r="C99" s="29"/>
      <c r="D99" s="29"/>
      <c r="E99" s="29">
        <v>2</v>
      </c>
      <c r="F99" s="29"/>
      <c r="G99" s="40"/>
      <c r="H99" s="40"/>
      <c r="I99" s="40"/>
      <c r="J99" s="40"/>
      <c r="K99" s="40"/>
      <c r="L99" s="40"/>
      <c r="M99" s="40"/>
      <c r="N99" s="40"/>
      <c r="O99" s="86">
        <v>2</v>
      </c>
    </row>
    <row r="100" spans="1:15">
      <c r="A100" s="40" t="s">
        <v>1</v>
      </c>
      <c r="B100" s="78" t="s">
        <v>1259</v>
      </c>
      <c r="C100" s="29">
        <v>35</v>
      </c>
      <c r="D100" s="29">
        <v>30</v>
      </c>
      <c r="E100" s="29">
        <v>29</v>
      </c>
      <c r="F100" s="29">
        <v>34</v>
      </c>
      <c r="G100" s="40"/>
      <c r="H100" s="40"/>
      <c r="I100" s="40"/>
      <c r="J100" s="40"/>
      <c r="K100" s="40"/>
      <c r="L100" s="40"/>
      <c r="M100" s="40"/>
      <c r="N100" s="40"/>
      <c r="O100" s="86">
        <v>128</v>
      </c>
    </row>
    <row r="101" spans="1:15">
      <c r="A101" s="40" t="s">
        <v>1</v>
      </c>
      <c r="B101" s="78" t="s">
        <v>1267</v>
      </c>
      <c r="C101" s="29"/>
      <c r="D101" s="29">
        <v>4</v>
      </c>
      <c r="E101" s="29">
        <v>1</v>
      </c>
      <c r="F101" s="29">
        <v>2</v>
      </c>
      <c r="G101" s="40"/>
      <c r="H101" s="40"/>
      <c r="I101" s="40"/>
      <c r="J101" s="40"/>
      <c r="K101" s="40"/>
      <c r="L101" s="40"/>
      <c r="M101" s="40"/>
      <c r="N101" s="40"/>
      <c r="O101" s="86">
        <v>7</v>
      </c>
    </row>
    <row r="102" spans="1:15">
      <c r="A102" s="40" t="s">
        <v>1</v>
      </c>
      <c r="B102" s="78" t="s">
        <v>1268</v>
      </c>
      <c r="C102" s="29"/>
      <c r="D102" s="29"/>
      <c r="E102" s="29"/>
      <c r="F102" s="29">
        <v>2</v>
      </c>
      <c r="G102" s="40"/>
      <c r="H102" s="40"/>
      <c r="I102" s="40"/>
      <c r="J102" s="40"/>
      <c r="K102" s="40"/>
      <c r="L102" s="40"/>
      <c r="M102" s="40"/>
      <c r="N102" s="40"/>
      <c r="O102" s="86">
        <v>2</v>
      </c>
    </row>
    <row r="103" spans="1:15">
      <c r="A103" s="40" t="s">
        <v>1</v>
      </c>
      <c r="B103" s="78" t="s">
        <v>1260</v>
      </c>
      <c r="C103" s="29">
        <v>113</v>
      </c>
      <c r="D103" s="29">
        <v>114</v>
      </c>
      <c r="E103" s="29">
        <v>125</v>
      </c>
      <c r="F103" s="29">
        <v>122</v>
      </c>
      <c r="G103" s="40"/>
      <c r="H103" s="40"/>
      <c r="I103" s="40"/>
      <c r="J103" s="40"/>
      <c r="K103" s="40"/>
      <c r="L103" s="40"/>
      <c r="M103" s="40"/>
      <c r="N103" s="40"/>
      <c r="O103" s="86">
        <v>474</v>
      </c>
    </row>
    <row r="104" spans="1:15">
      <c r="A104" s="40" t="s">
        <v>1</v>
      </c>
      <c r="B104" s="78" t="s">
        <v>1261</v>
      </c>
      <c r="C104" s="29">
        <v>12</v>
      </c>
      <c r="D104" s="29">
        <v>13</v>
      </c>
      <c r="E104" s="29">
        <v>2</v>
      </c>
      <c r="F104" s="29">
        <v>12</v>
      </c>
      <c r="G104" s="40"/>
      <c r="H104" s="40"/>
      <c r="I104" s="40"/>
      <c r="J104" s="40"/>
      <c r="K104" s="40"/>
      <c r="L104" s="40"/>
      <c r="M104" s="40"/>
      <c r="N104" s="40"/>
      <c r="O104" s="86">
        <v>39</v>
      </c>
    </row>
    <row r="105" spans="1:15">
      <c r="A105" s="40" t="s">
        <v>1</v>
      </c>
      <c r="B105" s="78" t="s">
        <v>1263</v>
      </c>
      <c r="C105" s="29">
        <v>166</v>
      </c>
      <c r="D105" s="29">
        <v>213</v>
      </c>
      <c r="E105" s="29">
        <v>173</v>
      </c>
      <c r="F105" s="29">
        <v>186</v>
      </c>
      <c r="G105" s="40"/>
      <c r="H105" s="40"/>
      <c r="I105" s="40"/>
      <c r="J105" s="40"/>
      <c r="K105" s="40"/>
      <c r="L105" s="40"/>
      <c r="M105" s="40"/>
      <c r="N105" s="40"/>
      <c r="O105" s="86">
        <v>738</v>
      </c>
    </row>
    <row r="106" spans="1:15">
      <c r="A106" s="40" t="s">
        <v>1</v>
      </c>
      <c r="B106" s="78" t="s">
        <v>1269</v>
      </c>
      <c r="C106" s="29"/>
      <c r="D106" s="29">
        <v>6</v>
      </c>
      <c r="E106" s="29">
        <v>3</v>
      </c>
      <c r="F106" s="29">
        <v>10</v>
      </c>
      <c r="G106" s="40"/>
      <c r="H106" s="40"/>
      <c r="I106" s="40"/>
      <c r="J106" s="40"/>
      <c r="K106" s="40"/>
      <c r="L106" s="40"/>
      <c r="M106" s="40"/>
      <c r="N106" s="40"/>
      <c r="O106" s="86">
        <v>19</v>
      </c>
    </row>
    <row r="107" spans="1:15">
      <c r="A107" s="40" t="s">
        <v>1</v>
      </c>
      <c r="B107" s="78" t="s">
        <v>1262</v>
      </c>
      <c r="C107" s="29">
        <v>165</v>
      </c>
      <c r="D107" s="29">
        <v>84</v>
      </c>
      <c r="E107" s="29">
        <v>112</v>
      </c>
      <c r="F107" s="29">
        <v>118</v>
      </c>
      <c r="G107" s="40"/>
      <c r="H107" s="40"/>
      <c r="I107" s="40"/>
      <c r="J107" s="40"/>
      <c r="K107" s="40"/>
      <c r="L107" s="40"/>
      <c r="M107" s="40"/>
      <c r="N107" s="40"/>
      <c r="O107" s="86">
        <v>479</v>
      </c>
    </row>
    <row r="108" spans="1:15">
      <c r="A108" s="40" t="s">
        <v>1</v>
      </c>
      <c r="B108" s="78" t="s">
        <v>1264</v>
      </c>
      <c r="C108" s="29">
        <v>196</v>
      </c>
      <c r="D108" s="29">
        <v>205</v>
      </c>
      <c r="E108" s="29">
        <v>196</v>
      </c>
      <c r="F108" s="29">
        <v>203</v>
      </c>
      <c r="G108" s="40"/>
      <c r="H108" s="40"/>
      <c r="I108" s="40"/>
      <c r="J108" s="40"/>
      <c r="K108" s="40"/>
      <c r="L108" s="40"/>
      <c r="M108" s="40"/>
      <c r="N108" s="40"/>
      <c r="O108" s="86">
        <v>800</v>
      </c>
    </row>
    <row r="109" spans="1:15">
      <c r="A109" s="40" t="s">
        <v>1</v>
      </c>
      <c r="B109" s="78" t="s">
        <v>1270</v>
      </c>
      <c r="C109" s="29">
        <v>16</v>
      </c>
      <c r="D109" s="29">
        <v>19</v>
      </c>
      <c r="E109" s="29">
        <v>36</v>
      </c>
      <c r="F109" s="29">
        <v>32</v>
      </c>
      <c r="G109" s="40"/>
      <c r="H109" s="40"/>
      <c r="I109" s="40"/>
      <c r="J109" s="40"/>
      <c r="K109" s="40"/>
      <c r="L109" s="40"/>
      <c r="M109" s="40"/>
      <c r="N109" s="40"/>
      <c r="O109" s="86">
        <v>103</v>
      </c>
    </row>
    <row r="110" spans="1:15">
      <c r="A110" s="40" t="s">
        <v>1</v>
      </c>
      <c r="B110" s="78" t="s">
        <v>1265</v>
      </c>
      <c r="C110" s="29">
        <v>3</v>
      </c>
      <c r="D110" s="29"/>
      <c r="E110" s="29">
        <v>1</v>
      </c>
      <c r="F110" s="29">
        <v>3</v>
      </c>
      <c r="G110" s="40"/>
      <c r="H110" s="40"/>
      <c r="I110" s="40"/>
      <c r="J110" s="40"/>
      <c r="K110" s="40"/>
      <c r="L110" s="40"/>
      <c r="M110" s="40"/>
      <c r="N110" s="40"/>
      <c r="O110" s="86">
        <v>7</v>
      </c>
    </row>
    <row r="111" spans="1:15">
      <c r="A111" s="40" t="s">
        <v>3</v>
      </c>
      <c r="B111" s="40" t="s">
        <v>1331</v>
      </c>
      <c r="C111" s="40">
        <v>91</v>
      </c>
      <c r="D111" s="40">
        <v>168</v>
      </c>
      <c r="E111" s="40">
        <v>218</v>
      </c>
      <c r="F111" s="40">
        <v>168</v>
      </c>
      <c r="G111" s="40"/>
      <c r="H111" s="40"/>
      <c r="I111" s="40"/>
      <c r="J111" s="40"/>
      <c r="K111" s="40"/>
      <c r="L111" s="40"/>
      <c r="M111" s="40"/>
      <c r="N111" s="40"/>
      <c r="O111" s="86">
        <v>645</v>
      </c>
    </row>
    <row r="112" spans="1:15">
      <c r="A112" s="40" t="s">
        <v>3</v>
      </c>
      <c r="B112" s="40" t="s">
        <v>1334</v>
      </c>
      <c r="C112" s="40">
        <v>78</v>
      </c>
      <c r="D112" s="40">
        <v>92</v>
      </c>
      <c r="E112" s="40">
        <v>142</v>
      </c>
      <c r="F112" s="40">
        <v>101</v>
      </c>
      <c r="G112" s="40"/>
      <c r="H112" s="40"/>
      <c r="I112" s="40"/>
      <c r="J112" s="40"/>
      <c r="K112" s="40"/>
      <c r="L112" s="40"/>
      <c r="M112" s="40"/>
      <c r="N112" s="40"/>
      <c r="O112" s="86">
        <v>413</v>
      </c>
    </row>
    <row r="113" spans="1:15">
      <c r="A113" s="40" t="s">
        <v>3</v>
      </c>
      <c r="B113" s="40" t="s">
        <v>1335</v>
      </c>
      <c r="C113" s="40">
        <v>3</v>
      </c>
      <c r="D113" s="40">
        <v>8</v>
      </c>
      <c r="E113" s="40"/>
      <c r="F113" s="40">
        <v>6</v>
      </c>
      <c r="G113" s="40"/>
      <c r="H113" s="40"/>
      <c r="I113" s="40"/>
      <c r="J113" s="40"/>
      <c r="K113" s="40"/>
      <c r="L113" s="40"/>
      <c r="M113" s="40"/>
      <c r="N113" s="40"/>
      <c r="O113" s="86">
        <v>17</v>
      </c>
    </row>
    <row r="114" spans="1:15">
      <c r="A114" s="40" t="s">
        <v>3</v>
      </c>
      <c r="B114" s="40" t="s">
        <v>1338</v>
      </c>
      <c r="C114" s="40">
        <v>3</v>
      </c>
      <c r="D114" s="40">
        <v>3</v>
      </c>
      <c r="E114" s="40">
        <v>2</v>
      </c>
      <c r="F114" s="40"/>
      <c r="G114" s="40"/>
      <c r="H114" s="40"/>
      <c r="I114" s="40"/>
      <c r="J114" s="40"/>
      <c r="K114" s="40"/>
      <c r="L114" s="40"/>
      <c r="M114" s="40"/>
      <c r="N114" s="40"/>
      <c r="O114" s="86">
        <v>8</v>
      </c>
    </row>
    <row r="115" spans="1:15">
      <c r="A115" s="40" t="s">
        <v>3</v>
      </c>
      <c r="B115" s="40" t="s">
        <v>1341</v>
      </c>
      <c r="C115" s="40">
        <v>40</v>
      </c>
      <c r="D115" s="40">
        <v>37</v>
      </c>
      <c r="E115" s="40">
        <v>47</v>
      </c>
      <c r="F115" s="40">
        <v>40</v>
      </c>
      <c r="G115" s="40"/>
      <c r="H115" s="40"/>
      <c r="I115" s="40"/>
      <c r="J115" s="40"/>
      <c r="K115" s="40"/>
      <c r="L115" s="40"/>
      <c r="M115" s="40"/>
      <c r="N115" s="40"/>
      <c r="O115" s="86">
        <v>164</v>
      </c>
    </row>
    <row r="116" spans="1:15">
      <c r="A116" s="40" t="s">
        <v>3</v>
      </c>
      <c r="B116" s="40" t="s">
        <v>1342</v>
      </c>
      <c r="C116" s="40"/>
      <c r="D116" s="40">
        <v>2</v>
      </c>
      <c r="E116" s="40">
        <v>1</v>
      </c>
      <c r="F116" s="40"/>
      <c r="G116" s="40"/>
      <c r="H116" s="40"/>
      <c r="I116" s="40"/>
      <c r="J116" s="40"/>
      <c r="K116" s="40"/>
      <c r="L116" s="40"/>
      <c r="M116" s="40"/>
      <c r="N116" s="40"/>
      <c r="O116" s="86">
        <v>3</v>
      </c>
    </row>
    <row r="117" spans="1:15">
      <c r="A117" s="40" t="s">
        <v>3</v>
      </c>
      <c r="B117" s="40" t="s">
        <v>1344</v>
      </c>
      <c r="C117" s="40">
        <v>20</v>
      </c>
      <c r="D117" s="40">
        <v>23</v>
      </c>
      <c r="E117" s="40">
        <v>33</v>
      </c>
      <c r="F117" s="40">
        <v>44</v>
      </c>
      <c r="G117" s="40"/>
      <c r="H117" s="40"/>
      <c r="I117" s="40"/>
      <c r="J117" s="40"/>
      <c r="K117" s="40"/>
      <c r="L117" s="40"/>
      <c r="M117" s="40"/>
      <c r="N117" s="40"/>
      <c r="O117" s="86">
        <v>120</v>
      </c>
    </row>
    <row r="118" spans="1:15">
      <c r="A118" s="40" t="s">
        <v>3</v>
      </c>
      <c r="B118" s="40" t="s">
        <v>1589</v>
      </c>
      <c r="C118" s="40"/>
      <c r="D118" s="40">
        <v>3</v>
      </c>
      <c r="E118" s="40">
        <v>2</v>
      </c>
      <c r="F118" s="40">
        <v>1</v>
      </c>
      <c r="G118" s="40"/>
      <c r="H118" s="40"/>
      <c r="I118" s="40"/>
      <c r="J118" s="40"/>
      <c r="K118" s="40"/>
      <c r="L118" s="40"/>
      <c r="M118" s="40"/>
      <c r="N118" s="40"/>
      <c r="O118" s="86">
        <v>6</v>
      </c>
    </row>
    <row r="119" spans="1:15">
      <c r="A119" s="40" t="s">
        <v>3</v>
      </c>
      <c r="B119" s="40" t="s">
        <v>1590</v>
      </c>
      <c r="C119" s="40">
        <v>1</v>
      </c>
      <c r="D119" s="40">
        <v>4</v>
      </c>
      <c r="E119" s="40">
        <v>3</v>
      </c>
      <c r="F119" s="40">
        <v>3</v>
      </c>
      <c r="G119" s="40"/>
      <c r="H119" s="40"/>
      <c r="I119" s="40"/>
      <c r="J119" s="40"/>
      <c r="K119" s="40"/>
      <c r="L119" s="40"/>
      <c r="M119" s="40"/>
      <c r="N119" s="40"/>
      <c r="O119" s="86">
        <v>11</v>
      </c>
    </row>
    <row r="120" spans="1:15">
      <c r="A120" s="40" t="s">
        <v>3</v>
      </c>
      <c r="B120" s="40" t="s">
        <v>1333</v>
      </c>
      <c r="C120" s="40">
        <v>2301</v>
      </c>
      <c r="D120" s="40">
        <v>2262</v>
      </c>
      <c r="E120" s="40">
        <v>2672</v>
      </c>
      <c r="F120" s="40">
        <v>2641</v>
      </c>
      <c r="G120" s="40"/>
      <c r="H120" s="40"/>
      <c r="I120" s="40"/>
      <c r="J120" s="40"/>
      <c r="K120" s="40"/>
      <c r="L120" s="40"/>
      <c r="M120" s="40"/>
      <c r="N120" s="40"/>
      <c r="O120" s="86">
        <v>9876</v>
      </c>
    </row>
    <row r="121" spans="1:15">
      <c r="A121" s="40" t="s">
        <v>3</v>
      </c>
      <c r="B121" s="40" t="s">
        <v>1336</v>
      </c>
      <c r="C121" s="40">
        <v>412</v>
      </c>
      <c r="D121" s="40">
        <v>459</v>
      </c>
      <c r="E121" s="40">
        <v>433</v>
      </c>
      <c r="F121" s="40">
        <v>500</v>
      </c>
      <c r="G121" s="40"/>
      <c r="H121" s="40"/>
      <c r="I121" s="40"/>
      <c r="J121" s="40"/>
      <c r="K121" s="40"/>
      <c r="L121" s="40"/>
      <c r="M121" s="40"/>
      <c r="N121" s="40"/>
      <c r="O121" s="86">
        <v>1804</v>
      </c>
    </row>
    <row r="122" spans="1:15">
      <c r="A122" s="40" t="s">
        <v>3</v>
      </c>
      <c r="B122" s="40" t="s">
        <v>1265</v>
      </c>
      <c r="C122" s="40">
        <v>199</v>
      </c>
      <c r="D122" s="40">
        <v>168</v>
      </c>
      <c r="E122" s="40">
        <v>190</v>
      </c>
      <c r="F122" s="40">
        <v>184</v>
      </c>
      <c r="G122" s="40"/>
      <c r="H122" s="40"/>
      <c r="I122" s="40"/>
      <c r="J122" s="40"/>
      <c r="K122" s="40"/>
      <c r="L122" s="40"/>
      <c r="M122" s="40"/>
      <c r="N122" s="40"/>
      <c r="O122" s="86">
        <v>741</v>
      </c>
    </row>
    <row r="123" spans="1:15">
      <c r="A123" s="40" t="s">
        <v>3</v>
      </c>
      <c r="B123" s="40" t="s">
        <v>1345</v>
      </c>
      <c r="C123" s="40">
        <v>142</v>
      </c>
      <c r="D123" s="40">
        <v>145</v>
      </c>
      <c r="E123" s="40">
        <v>176</v>
      </c>
      <c r="F123" s="40">
        <v>148</v>
      </c>
      <c r="G123" s="40"/>
      <c r="H123" s="40"/>
      <c r="I123" s="40"/>
      <c r="J123" s="40"/>
      <c r="K123" s="40"/>
      <c r="L123" s="40"/>
      <c r="M123" s="40"/>
      <c r="N123" s="40"/>
      <c r="O123" s="86">
        <v>611</v>
      </c>
    </row>
    <row r="124" spans="1:15">
      <c r="A124" s="40" t="s">
        <v>3</v>
      </c>
      <c r="B124" s="40" t="s">
        <v>1591</v>
      </c>
      <c r="C124" s="40">
        <v>7</v>
      </c>
      <c r="D124" s="40">
        <v>5</v>
      </c>
      <c r="E124" s="40">
        <v>5</v>
      </c>
      <c r="F124" s="40">
        <v>10</v>
      </c>
      <c r="G124" s="40"/>
      <c r="H124" s="40"/>
      <c r="I124" s="40"/>
      <c r="J124" s="40"/>
      <c r="K124" s="40"/>
      <c r="L124" s="40"/>
      <c r="M124" s="40"/>
      <c r="N124" s="40"/>
      <c r="O124" s="86">
        <v>27</v>
      </c>
    </row>
    <row r="125" spans="1:15">
      <c r="A125" s="40" t="s">
        <v>3</v>
      </c>
      <c r="B125" s="40" t="s">
        <v>1337</v>
      </c>
      <c r="C125" s="40">
        <v>102</v>
      </c>
      <c r="D125" s="40">
        <v>96</v>
      </c>
      <c r="E125" s="40">
        <v>93</v>
      </c>
      <c r="F125" s="40">
        <v>99</v>
      </c>
      <c r="G125" s="40"/>
      <c r="H125" s="40"/>
      <c r="I125" s="40"/>
      <c r="J125" s="40"/>
      <c r="K125" s="40"/>
      <c r="L125" s="40"/>
      <c r="M125" s="40"/>
      <c r="N125" s="40"/>
      <c r="O125" s="86">
        <v>390</v>
      </c>
    </row>
    <row r="126" spans="1:15">
      <c r="A126" s="40" t="s">
        <v>3</v>
      </c>
      <c r="B126" s="40" t="s">
        <v>1343</v>
      </c>
      <c r="C126" s="40">
        <v>10</v>
      </c>
      <c r="D126" s="40">
        <v>13</v>
      </c>
      <c r="E126" s="40">
        <v>10</v>
      </c>
      <c r="F126" s="40">
        <v>11</v>
      </c>
      <c r="G126" s="40"/>
      <c r="H126" s="40"/>
      <c r="I126" s="40"/>
      <c r="J126" s="40"/>
      <c r="K126" s="40"/>
      <c r="L126" s="40"/>
      <c r="M126" s="40"/>
      <c r="N126" s="40"/>
      <c r="O126" s="86">
        <v>44</v>
      </c>
    </row>
    <row r="127" spans="1:15">
      <c r="A127" s="40" t="s">
        <v>3</v>
      </c>
      <c r="B127" s="40" t="s">
        <v>1353</v>
      </c>
      <c r="C127" s="40">
        <v>4</v>
      </c>
      <c r="D127" s="40">
        <v>2</v>
      </c>
      <c r="E127" s="40">
        <v>8</v>
      </c>
      <c r="F127" s="40">
        <v>2</v>
      </c>
      <c r="G127" s="40"/>
      <c r="H127" s="40"/>
      <c r="I127" s="40"/>
      <c r="J127" s="40"/>
      <c r="K127" s="40"/>
      <c r="L127" s="40"/>
      <c r="M127" s="40"/>
      <c r="N127" s="40"/>
      <c r="O127" s="86">
        <v>16</v>
      </c>
    </row>
    <row r="128" spans="1:15">
      <c r="A128" s="40" t="s">
        <v>3</v>
      </c>
      <c r="B128" s="40" t="s">
        <v>1354</v>
      </c>
      <c r="C128" s="40">
        <v>50</v>
      </c>
      <c r="D128" s="40">
        <v>49</v>
      </c>
      <c r="E128" s="40">
        <v>57</v>
      </c>
      <c r="F128" s="40">
        <v>53</v>
      </c>
      <c r="G128" s="40"/>
      <c r="H128" s="40"/>
      <c r="I128" s="40"/>
      <c r="J128" s="40"/>
      <c r="K128" s="40"/>
      <c r="L128" s="40"/>
      <c r="M128" s="40"/>
      <c r="N128" s="40"/>
      <c r="O128" s="86">
        <v>209</v>
      </c>
    </row>
    <row r="129" spans="1:15">
      <c r="A129" s="40" t="s">
        <v>3</v>
      </c>
      <c r="B129" s="40" t="s">
        <v>1357</v>
      </c>
      <c r="C129" s="40">
        <v>11</v>
      </c>
      <c r="D129" s="40">
        <v>7</v>
      </c>
      <c r="E129" s="40">
        <v>9</v>
      </c>
      <c r="F129" s="40">
        <v>9</v>
      </c>
      <c r="G129" s="40"/>
      <c r="H129" s="40"/>
      <c r="I129" s="40"/>
      <c r="J129" s="40"/>
      <c r="K129" s="40"/>
      <c r="L129" s="40"/>
      <c r="M129" s="40"/>
      <c r="N129" s="40"/>
      <c r="O129" s="86">
        <v>36</v>
      </c>
    </row>
    <row r="130" spans="1:15">
      <c r="A130" s="40" t="s">
        <v>3</v>
      </c>
      <c r="B130" s="40" t="s">
        <v>1592</v>
      </c>
      <c r="C130" s="40">
        <v>1</v>
      </c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86">
        <v>1</v>
      </c>
    </row>
    <row r="131" spans="1:15">
      <c r="A131" s="40" t="s">
        <v>3</v>
      </c>
      <c r="B131" s="40" t="s">
        <v>1355</v>
      </c>
      <c r="C131" s="40">
        <v>9</v>
      </c>
      <c r="D131" s="40">
        <v>20</v>
      </c>
      <c r="E131" s="40">
        <v>19</v>
      </c>
      <c r="F131" s="40">
        <v>28</v>
      </c>
      <c r="G131" s="40"/>
      <c r="H131" s="40"/>
      <c r="I131" s="40"/>
      <c r="J131" s="40"/>
      <c r="K131" s="40"/>
      <c r="L131" s="40"/>
      <c r="M131" s="40"/>
      <c r="N131" s="40"/>
      <c r="O131" s="86">
        <v>76</v>
      </c>
    </row>
    <row r="132" spans="1:15">
      <c r="A132" s="40" t="s">
        <v>3</v>
      </c>
      <c r="B132" s="40" t="s">
        <v>1356</v>
      </c>
      <c r="C132" s="40">
        <v>32</v>
      </c>
      <c r="D132" s="40">
        <v>28</v>
      </c>
      <c r="E132" s="40">
        <v>22</v>
      </c>
      <c r="F132" s="40">
        <v>34</v>
      </c>
      <c r="G132" s="40"/>
      <c r="H132" s="40"/>
      <c r="I132" s="40"/>
      <c r="J132" s="40"/>
      <c r="K132" s="40"/>
      <c r="L132" s="40"/>
      <c r="M132" s="40"/>
      <c r="N132" s="40"/>
      <c r="O132" s="86">
        <v>116</v>
      </c>
    </row>
    <row r="133" spans="1:15">
      <c r="A133" s="40" t="s">
        <v>3</v>
      </c>
      <c r="B133" s="40" t="s">
        <v>1358</v>
      </c>
      <c r="C133" s="40">
        <v>15</v>
      </c>
      <c r="D133" s="40">
        <v>11</v>
      </c>
      <c r="E133" s="40">
        <v>14</v>
      </c>
      <c r="F133" s="40">
        <v>13</v>
      </c>
      <c r="G133" s="40"/>
      <c r="H133" s="40"/>
      <c r="I133" s="40"/>
      <c r="J133" s="40"/>
      <c r="K133" s="40"/>
      <c r="L133" s="40"/>
      <c r="M133" s="40"/>
      <c r="N133" s="40"/>
      <c r="O133" s="86">
        <v>53</v>
      </c>
    </row>
    <row r="134" spans="1:15">
      <c r="A134" s="40" t="s">
        <v>3</v>
      </c>
      <c r="B134" s="40" t="s">
        <v>1359</v>
      </c>
      <c r="C134" s="40">
        <v>10</v>
      </c>
      <c r="D134" s="40">
        <v>9</v>
      </c>
      <c r="E134" s="40">
        <v>10</v>
      </c>
      <c r="F134" s="40">
        <v>11</v>
      </c>
      <c r="G134" s="40"/>
      <c r="H134" s="40"/>
      <c r="I134" s="40"/>
      <c r="J134" s="40"/>
      <c r="K134" s="40"/>
      <c r="L134" s="40"/>
      <c r="M134" s="40"/>
      <c r="N134" s="40"/>
      <c r="O134" s="86">
        <v>40</v>
      </c>
    </row>
    <row r="135" spans="1:15">
      <c r="A135" s="40" t="s">
        <v>3</v>
      </c>
      <c r="B135" s="40" t="s">
        <v>1593</v>
      </c>
      <c r="C135" s="40">
        <v>3</v>
      </c>
      <c r="D135" s="40">
        <v>3</v>
      </c>
      <c r="E135" s="40">
        <v>3</v>
      </c>
      <c r="F135" s="40">
        <v>4</v>
      </c>
      <c r="G135" s="40"/>
      <c r="H135" s="40"/>
      <c r="I135" s="40"/>
      <c r="J135" s="40"/>
      <c r="K135" s="40"/>
      <c r="L135" s="40"/>
      <c r="M135" s="40"/>
      <c r="N135" s="40"/>
      <c r="O135" s="86">
        <v>13</v>
      </c>
    </row>
    <row r="136" spans="1:15">
      <c r="A136" s="40" t="s">
        <v>3</v>
      </c>
      <c r="B136" s="40" t="s">
        <v>1360</v>
      </c>
      <c r="C136" s="40">
        <v>16</v>
      </c>
      <c r="D136" s="40">
        <v>10</v>
      </c>
      <c r="E136" s="40">
        <v>19</v>
      </c>
      <c r="F136" s="40">
        <v>19</v>
      </c>
      <c r="G136" s="40"/>
      <c r="H136" s="40"/>
      <c r="I136" s="40"/>
      <c r="J136" s="40"/>
      <c r="K136" s="40"/>
      <c r="L136" s="40"/>
      <c r="M136" s="40"/>
      <c r="N136" s="40"/>
      <c r="O136" s="86">
        <v>64</v>
      </c>
    </row>
    <row r="137" spans="1:15">
      <c r="A137" s="40" t="s">
        <v>3</v>
      </c>
      <c r="B137" s="40" t="s">
        <v>1594</v>
      </c>
      <c r="C137" s="40">
        <v>5</v>
      </c>
      <c r="D137" s="40">
        <v>11</v>
      </c>
      <c r="E137" s="40">
        <v>11</v>
      </c>
      <c r="F137" s="40">
        <v>9</v>
      </c>
      <c r="G137" s="40"/>
      <c r="H137" s="40"/>
      <c r="I137" s="40"/>
      <c r="J137" s="40"/>
      <c r="K137" s="40"/>
      <c r="L137" s="40"/>
      <c r="M137" s="40"/>
      <c r="N137" s="40"/>
      <c r="O137" s="86">
        <v>36</v>
      </c>
    </row>
    <row r="138" spans="1:15">
      <c r="A138" s="40" t="s">
        <v>3</v>
      </c>
      <c r="B138" s="40" t="s">
        <v>1339</v>
      </c>
      <c r="C138" s="40">
        <v>324</v>
      </c>
      <c r="D138" s="40">
        <v>331</v>
      </c>
      <c r="E138" s="40">
        <v>385</v>
      </c>
      <c r="F138" s="40">
        <v>421</v>
      </c>
      <c r="G138" s="40"/>
      <c r="H138" s="40"/>
      <c r="I138" s="40"/>
      <c r="J138" s="40"/>
      <c r="K138" s="40"/>
      <c r="L138" s="40"/>
      <c r="M138" s="40"/>
      <c r="N138" s="40"/>
      <c r="O138" s="86">
        <v>1461</v>
      </c>
    </row>
    <row r="139" spans="1:15">
      <c r="A139" s="40" t="s">
        <v>3</v>
      </c>
      <c r="B139" s="40" t="s">
        <v>1340</v>
      </c>
      <c r="C139" s="40">
        <v>86</v>
      </c>
      <c r="D139" s="40">
        <v>83</v>
      </c>
      <c r="E139" s="40">
        <v>89</v>
      </c>
      <c r="F139" s="40">
        <v>96</v>
      </c>
      <c r="G139" s="40"/>
      <c r="H139" s="40"/>
      <c r="I139" s="40"/>
      <c r="J139" s="40"/>
      <c r="K139" s="40"/>
      <c r="L139" s="40"/>
      <c r="M139" s="40"/>
      <c r="N139" s="40"/>
      <c r="O139" s="86">
        <v>354</v>
      </c>
    </row>
    <row r="140" spans="1:15">
      <c r="A140" s="40" t="s">
        <v>3</v>
      </c>
      <c r="B140" s="40" t="s">
        <v>1349</v>
      </c>
      <c r="C140" s="40">
        <v>92</v>
      </c>
      <c r="D140" s="40">
        <v>113</v>
      </c>
      <c r="E140" s="40">
        <v>116</v>
      </c>
      <c r="F140" s="40">
        <v>130</v>
      </c>
      <c r="G140" s="40"/>
      <c r="H140" s="40"/>
      <c r="I140" s="40"/>
      <c r="J140" s="40"/>
      <c r="K140" s="40"/>
      <c r="L140" s="40"/>
      <c r="M140" s="40"/>
      <c r="N140" s="40"/>
      <c r="O140" s="86">
        <v>451</v>
      </c>
    </row>
    <row r="141" spans="1:15">
      <c r="A141" s="40" t="s">
        <v>3</v>
      </c>
      <c r="B141" s="40" t="s">
        <v>1595</v>
      </c>
      <c r="C141" s="40">
        <v>64</v>
      </c>
      <c r="D141" s="40">
        <v>42</v>
      </c>
      <c r="E141" s="40">
        <v>56</v>
      </c>
      <c r="F141" s="40">
        <v>56</v>
      </c>
      <c r="G141" s="40"/>
      <c r="H141" s="40"/>
      <c r="I141" s="40"/>
      <c r="J141" s="40"/>
      <c r="K141" s="40"/>
      <c r="L141" s="40"/>
      <c r="M141" s="40"/>
      <c r="N141" s="40"/>
      <c r="O141" s="86">
        <v>218</v>
      </c>
    </row>
    <row r="142" spans="1:15">
      <c r="A142" s="40" t="s">
        <v>3</v>
      </c>
      <c r="B142" s="40" t="s">
        <v>1351</v>
      </c>
      <c r="C142" s="40">
        <v>45</v>
      </c>
      <c r="D142" s="40">
        <v>47</v>
      </c>
      <c r="E142" s="40">
        <v>29</v>
      </c>
      <c r="F142" s="40">
        <v>32</v>
      </c>
      <c r="G142" s="40"/>
      <c r="H142" s="40"/>
      <c r="I142" s="40"/>
      <c r="J142" s="40"/>
      <c r="K142" s="40"/>
      <c r="L142" s="40"/>
      <c r="M142" s="40"/>
      <c r="N142" s="40"/>
      <c r="O142" s="86">
        <v>153</v>
      </c>
    </row>
    <row r="143" spans="1:15">
      <c r="A143" s="40"/>
      <c r="B143" s="78"/>
      <c r="C143" s="29"/>
      <c r="D143" s="29"/>
      <c r="E143" s="29"/>
      <c r="F143" s="29"/>
      <c r="G143" s="40"/>
      <c r="H143" s="40"/>
      <c r="I143" s="40"/>
      <c r="J143" s="40"/>
      <c r="K143" s="40"/>
      <c r="L143" s="40"/>
      <c r="M143" s="40"/>
      <c r="N143" s="40"/>
      <c r="O143" s="86"/>
    </row>
    <row r="144" spans="1:15">
      <c r="A144" s="40"/>
      <c r="B144" s="78"/>
      <c r="C144" s="29"/>
      <c r="D144" s="29"/>
      <c r="E144" s="29"/>
      <c r="F144" s="29"/>
      <c r="G144" s="40"/>
      <c r="H144" s="40"/>
      <c r="I144" s="40"/>
      <c r="J144" s="40"/>
      <c r="K144" s="40"/>
      <c r="L144" s="40"/>
      <c r="M144" s="40"/>
      <c r="N144" s="40"/>
      <c r="O144" s="86"/>
    </row>
    <row r="145" spans="1:15">
      <c r="A145" s="40"/>
      <c r="B145" s="78"/>
      <c r="C145" s="29"/>
      <c r="D145" s="29"/>
      <c r="E145" s="29"/>
      <c r="F145" s="29"/>
      <c r="G145" s="40"/>
      <c r="H145" s="40"/>
      <c r="I145" s="40"/>
      <c r="J145" s="40"/>
      <c r="K145" s="40"/>
      <c r="L145" s="40"/>
      <c r="M145" s="40"/>
      <c r="N145" s="40"/>
      <c r="O145" s="86"/>
    </row>
    <row r="146" spans="1:15">
      <c r="A146" s="40"/>
      <c r="B146" s="78"/>
      <c r="C146" s="29"/>
      <c r="D146" s="29"/>
      <c r="E146" s="29"/>
      <c r="F146" s="29"/>
      <c r="G146" s="40"/>
      <c r="H146" s="40"/>
      <c r="I146" s="40"/>
      <c r="J146" s="40"/>
      <c r="K146" s="40"/>
      <c r="L146" s="40"/>
      <c r="M146" s="40"/>
      <c r="N146" s="40"/>
      <c r="O146" s="86"/>
    </row>
    <row r="147" spans="1:15">
      <c r="A147" s="40"/>
      <c r="B147" s="78"/>
      <c r="C147" s="29"/>
      <c r="D147" s="29"/>
      <c r="E147" s="29"/>
      <c r="F147" s="29"/>
      <c r="G147" s="40"/>
      <c r="H147" s="40"/>
      <c r="I147" s="40"/>
      <c r="J147" s="40"/>
      <c r="K147" s="40"/>
      <c r="L147" s="40"/>
      <c r="M147" s="40"/>
      <c r="N147" s="40"/>
      <c r="O147" s="86"/>
    </row>
    <row r="148" spans="1:15">
      <c r="A148" s="40"/>
      <c r="B148" s="78"/>
      <c r="C148" s="29"/>
      <c r="D148" s="29"/>
      <c r="E148" s="29"/>
      <c r="F148" s="29"/>
      <c r="G148" s="40"/>
      <c r="H148" s="40"/>
      <c r="I148" s="40"/>
      <c r="J148" s="40"/>
      <c r="K148" s="40"/>
      <c r="L148" s="40"/>
      <c r="M148" s="40"/>
      <c r="N148" s="40"/>
      <c r="O148" s="86"/>
    </row>
    <row r="149" spans="1:15">
      <c r="A149" s="40"/>
      <c r="B149" s="78"/>
      <c r="C149" s="29"/>
      <c r="D149" s="29"/>
      <c r="E149" s="29"/>
      <c r="F149" s="29"/>
      <c r="G149" s="40"/>
      <c r="H149" s="40"/>
      <c r="I149" s="40"/>
      <c r="J149" s="40"/>
      <c r="K149" s="40"/>
      <c r="L149" s="40"/>
      <c r="M149" s="40"/>
      <c r="N149" s="40"/>
      <c r="O149" s="86"/>
    </row>
    <row r="150" spans="1:15">
      <c r="A150" s="40"/>
      <c r="B150" s="78"/>
      <c r="C150" s="29"/>
      <c r="D150" s="29"/>
      <c r="E150" s="29"/>
      <c r="F150" s="29"/>
      <c r="G150" s="40"/>
      <c r="H150" s="40"/>
      <c r="I150" s="40"/>
      <c r="J150" s="40"/>
      <c r="K150" s="40"/>
      <c r="L150" s="40"/>
      <c r="M150" s="40"/>
      <c r="N150" s="40"/>
      <c r="O150" s="86"/>
    </row>
    <row r="151" spans="1:15">
      <c r="A151" s="40"/>
      <c r="B151" s="78"/>
      <c r="C151" s="29"/>
      <c r="D151" s="29"/>
      <c r="E151" s="29"/>
      <c r="F151" s="29"/>
      <c r="G151" s="40"/>
      <c r="H151" s="40"/>
      <c r="I151" s="40"/>
      <c r="J151" s="40"/>
      <c r="K151" s="40"/>
      <c r="L151" s="40"/>
      <c r="M151" s="40"/>
      <c r="N151" s="40"/>
      <c r="O151" s="86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47"/>
  <sheetViews>
    <sheetView zoomScale="85" zoomScaleNormal="85" workbookViewId="0">
      <selection activeCell="A29" sqref="A29:P47"/>
    </sheetView>
  </sheetViews>
  <sheetFormatPr defaultColWidth="8.7265625" defaultRowHeight="14.5"/>
  <cols>
    <col min="1" max="1" width="8.7265625" style="24"/>
    <col min="2" max="2" width="9.7265625" style="24" customWidth="1"/>
    <col min="3" max="3" width="32.1796875" style="24" customWidth="1"/>
    <col min="4" max="16384" width="8.7265625" style="24"/>
  </cols>
  <sheetData>
    <row r="1" spans="1:16" s="47" customFormat="1" ht="20.5" customHeight="1">
      <c r="A1" s="32" t="s">
        <v>1186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36" t="s">
        <v>1182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 ht="29">
      <c r="A3" s="40" t="s">
        <v>2</v>
      </c>
      <c r="B3" s="125" t="s">
        <v>1271</v>
      </c>
      <c r="C3" s="126" t="s">
        <v>1307</v>
      </c>
      <c r="D3" s="127">
        <v>94</v>
      </c>
      <c r="E3" s="127">
        <v>76</v>
      </c>
      <c r="F3" s="127">
        <v>66</v>
      </c>
      <c r="G3" s="127">
        <v>86</v>
      </c>
      <c r="H3" s="76"/>
      <c r="I3" s="76"/>
      <c r="J3" s="76"/>
      <c r="K3" s="76"/>
      <c r="L3" s="76"/>
      <c r="M3" s="76"/>
      <c r="N3" s="76"/>
      <c r="O3" s="76"/>
      <c r="P3" s="77">
        <v>322</v>
      </c>
    </row>
    <row r="4" spans="1:16" ht="29">
      <c r="A4" s="40" t="s">
        <v>2</v>
      </c>
      <c r="B4" s="125" t="s">
        <v>1272</v>
      </c>
      <c r="C4" s="126" t="s">
        <v>1308</v>
      </c>
      <c r="D4" s="127">
        <v>7</v>
      </c>
      <c r="E4" s="127">
        <v>6</v>
      </c>
      <c r="F4" s="127">
        <v>8</v>
      </c>
      <c r="G4" s="127">
        <v>2</v>
      </c>
      <c r="H4" s="76"/>
      <c r="I4" s="76"/>
      <c r="J4" s="76"/>
      <c r="K4" s="76"/>
      <c r="L4" s="76"/>
      <c r="M4" s="76"/>
      <c r="N4" s="76"/>
      <c r="O4" s="76"/>
      <c r="P4" s="77">
        <v>23</v>
      </c>
    </row>
    <row r="5" spans="1:16" ht="29">
      <c r="A5" s="40" t="s">
        <v>2</v>
      </c>
      <c r="B5" s="125" t="s">
        <v>1362</v>
      </c>
      <c r="C5" s="126" t="s">
        <v>1363</v>
      </c>
      <c r="D5" s="127">
        <v>21</v>
      </c>
      <c r="E5" s="127">
        <v>10</v>
      </c>
      <c r="F5" s="127">
        <v>12</v>
      </c>
      <c r="G5" s="127">
        <v>13</v>
      </c>
      <c r="H5" s="76"/>
      <c r="I5" s="76"/>
      <c r="J5" s="76"/>
      <c r="K5" s="76"/>
      <c r="L5" s="76"/>
      <c r="M5" s="76"/>
      <c r="N5" s="76"/>
      <c r="O5" s="76"/>
      <c r="P5" s="77">
        <v>56</v>
      </c>
    </row>
    <row r="6" spans="1:16" ht="43.5">
      <c r="A6" s="40" t="s">
        <v>2</v>
      </c>
      <c r="B6" s="125" t="s">
        <v>1364</v>
      </c>
      <c r="C6" s="126" t="s">
        <v>1365</v>
      </c>
      <c r="D6" s="127">
        <v>1</v>
      </c>
      <c r="E6" s="127">
        <v>0</v>
      </c>
      <c r="F6" s="127">
        <v>0</v>
      </c>
      <c r="G6" s="127">
        <v>1</v>
      </c>
      <c r="H6" s="76"/>
      <c r="I6" s="76"/>
      <c r="J6" s="76"/>
      <c r="K6" s="76"/>
      <c r="L6" s="76"/>
      <c r="M6" s="76"/>
      <c r="N6" s="76"/>
      <c r="O6" s="76"/>
      <c r="P6" s="77">
        <v>2</v>
      </c>
    </row>
    <row r="7" spans="1:16" ht="43.5">
      <c r="A7" s="40" t="s">
        <v>2</v>
      </c>
      <c r="B7" s="125" t="s">
        <v>1366</v>
      </c>
      <c r="C7" s="126" t="s">
        <v>1367</v>
      </c>
      <c r="D7" s="127">
        <v>1</v>
      </c>
      <c r="E7" s="127">
        <v>0</v>
      </c>
      <c r="F7" s="127">
        <v>0</v>
      </c>
      <c r="G7" s="127">
        <v>4</v>
      </c>
      <c r="H7" s="76"/>
      <c r="I7" s="76"/>
      <c r="J7" s="76"/>
      <c r="K7" s="76"/>
      <c r="L7" s="76"/>
      <c r="M7" s="76"/>
      <c r="N7" s="76"/>
      <c r="O7" s="76"/>
      <c r="P7" s="77">
        <v>5</v>
      </c>
    </row>
    <row r="8" spans="1:16">
      <c r="A8" s="61" t="s">
        <v>1</v>
      </c>
      <c r="B8" s="79" t="s">
        <v>1271</v>
      </c>
      <c r="C8" s="108" t="s">
        <v>1307</v>
      </c>
      <c r="D8" s="27">
        <v>63</v>
      </c>
      <c r="E8" s="27">
        <v>48</v>
      </c>
      <c r="F8" s="27">
        <v>63</v>
      </c>
      <c r="G8" s="27">
        <v>48</v>
      </c>
      <c r="H8" s="63"/>
      <c r="I8" s="63"/>
      <c r="J8" s="63"/>
      <c r="K8" s="63"/>
      <c r="L8" s="63"/>
      <c r="M8" s="63"/>
      <c r="N8" s="63"/>
      <c r="O8" s="63"/>
      <c r="P8" s="80">
        <v>222</v>
      </c>
    </row>
    <row r="9" spans="1:16">
      <c r="A9" s="61" t="s">
        <v>1</v>
      </c>
      <c r="B9" s="79" t="s">
        <v>1272</v>
      </c>
      <c r="C9" s="108" t="s">
        <v>1308</v>
      </c>
      <c r="D9" s="27">
        <v>63</v>
      </c>
      <c r="E9" s="27">
        <v>48</v>
      </c>
      <c r="F9" s="27">
        <v>63</v>
      </c>
      <c r="G9" s="27">
        <v>48</v>
      </c>
      <c r="H9" s="63"/>
      <c r="I9" s="63"/>
      <c r="J9" s="63"/>
      <c r="K9" s="63"/>
      <c r="L9" s="63"/>
      <c r="M9" s="63"/>
      <c r="N9" s="63"/>
      <c r="O9" s="63"/>
      <c r="P9" s="80">
        <v>222</v>
      </c>
    </row>
    <row r="10" spans="1:16">
      <c r="A10" s="61" t="s">
        <v>4</v>
      </c>
      <c r="B10" s="125" t="s">
        <v>1271</v>
      </c>
      <c r="C10" s="162" t="s">
        <v>1307</v>
      </c>
      <c r="D10" s="109">
        <v>81</v>
      </c>
      <c r="E10" s="109">
        <v>105</v>
      </c>
      <c r="F10" s="109">
        <v>155</v>
      </c>
      <c r="G10" s="109">
        <v>150</v>
      </c>
      <c r="H10" s="61">
        <v>49</v>
      </c>
      <c r="I10" s="63"/>
      <c r="J10" s="63"/>
      <c r="K10" s="63"/>
      <c r="L10" s="63"/>
      <c r="M10" s="63"/>
      <c r="N10" s="63"/>
      <c r="O10" s="63"/>
      <c r="P10" s="80">
        <v>540</v>
      </c>
    </row>
    <row r="11" spans="1:16" ht="29">
      <c r="A11" s="61" t="s">
        <v>4</v>
      </c>
      <c r="B11" s="125" t="s">
        <v>1458</v>
      </c>
      <c r="C11" s="163" t="s">
        <v>1459</v>
      </c>
      <c r="D11" s="109">
        <v>5</v>
      </c>
      <c r="E11" s="109">
        <v>2</v>
      </c>
      <c r="F11" s="109">
        <v>5</v>
      </c>
      <c r="G11" s="109">
        <v>7</v>
      </c>
      <c r="H11" s="61">
        <v>0</v>
      </c>
      <c r="I11" s="63"/>
      <c r="J11" s="63"/>
      <c r="K11" s="63"/>
      <c r="L11" s="63"/>
      <c r="M11" s="63"/>
      <c r="N11" s="63"/>
      <c r="O11" s="63"/>
      <c r="P11" s="80">
        <v>19</v>
      </c>
    </row>
    <row r="12" spans="1:16" ht="29">
      <c r="A12" s="61" t="s">
        <v>4</v>
      </c>
      <c r="B12" s="125" t="s">
        <v>1460</v>
      </c>
      <c r="C12" s="163" t="s">
        <v>1461</v>
      </c>
      <c r="D12" s="109">
        <v>7</v>
      </c>
      <c r="E12" s="109">
        <v>11</v>
      </c>
      <c r="F12" s="109">
        <v>12</v>
      </c>
      <c r="G12" s="109">
        <v>23</v>
      </c>
      <c r="H12" s="61">
        <v>3</v>
      </c>
      <c r="I12" s="63"/>
      <c r="J12" s="63"/>
      <c r="K12" s="63"/>
      <c r="L12" s="63"/>
      <c r="M12" s="63"/>
      <c r="N12" s="63"/>
      <c r="O12" s="63"/>
      <c r="P12" s="80">
        <v>56</v>
      </c>
    </row>
    <row r="13" spans="1:16">
      <c r="A13" s="61" t="s">
        <v>4</v>
      </c>
      <c r="B13" s="125" t="s">
        <v>1272</v>
      </c>
      <c r="C13" s="162" t="s">
        <v>1308</v>
      </c>
      <c r="D13" s="109">
        <v>2</v>
      </c>
      <c r="E13" s="109">
        <v>3</v>
      </c>
      <c r="F13" s="109">
        <v>4</v>
      </c>
      <c r="G13" s="109">
        <v>8</v>
      </c>
      <c r="H13" s="61">
        <v>0</v>
      </c>
      <c r="I13" s="63"/>
      <c r="J13" s="63"/>
      <c r="K13" s="63"/>
      <c r="L13" s="63"/>
      <c r="M13" s="63"/>
      <c r="N13" s="63"/>
      <c r="O13" s="63"/>
      <c r="P13" s="80">
        <v>17</v>
      </c>
    </row>
    <row r="14" spans="1:16" ht="43.5">
      <c r="A14" s="61" t="s">
        <v>4</v>
      </c>
      <c r="B14" s="125" t="s">
        <v>1462</v>
      </c>
      <c r="C14" s="163" t="s">
        <v>1365</v>
      </c>
      <c r="D14" s="109">
        <v>0</v>
      </c>
      <c r="E14" s="109">
        <v>7</v>
      </c>
      <c r="F14" s="109">
        <v>12</v>
      </c>
      <c r="G14" s="109">
        <v>12</v>
      </c>
      <c r="H14" s="61">
        <v>7</v>
      </c>
      <c r="I14" s="63"/>
      <c r="J14" s="63"/>
      <c r="K14" s="63"/>
      <c r="L14" s="63"/>
      <c r="M14" s="63"/>
      <c r="N14" s="63"/>
      <c r="O14" s="63"/>
      <c r="P14" s="80">
        <v>38</v>
      </c>
    </row>
    <row r="15" spans="1:16" ht="43.5">
      <c r="A15" s="61" t="s">
        <v>4</v>
      </c>
      <c r="B15" s="125" t="s">
        <v>1463</v>
      </c>
      <c r="C15" s="163" t="s">
        <v>1464</v>
      </c>
      <c r="D15" s="109">
        <v>1</v>
      </c>
      <c r="E15" s="109">
        <v>0</v>
      </c>
      <c r="F15" s="109">
        <v>0</v>
      </c>
      <c r="G15" s="109">
        <v>0</v>
      </c>
      <c r="H15" s="61">
        <v>0</v>
      </c>
      <c r="I15" s="63"/>
      <c r="J15" s="63"/>
      <c r="K15" s="63"/>
      <c r="L15" s="63"/>
      <c r="M15" s="63"/>
      <c r="N15" s="63"/>
      <c r="O15" s="63"/>
      <c r="P15" s="80">
        <v>1</v>
      </c>
    </row>
    <row r="16" spans="1:16" ht="43.5">
      <c r="A16" s="61" t="s">
        <v>4</v>
      </c>
      <c r="B16" s="127" t="s">
        <v>1364</v>
      </c>
      <c r="C16" s="131" t="s">
        <v>1365</v>
      </c>
      <c r="D16" s="109">
        <v>8</v>
      </c>
      <c r="E16" s="109">
        <v>18</v>
      </c>
      <c r="F16" s="109">
        <v>30</v>
      </c>
      <c r="G16" s="109">
        <v>28</v>
      </c>
      <c r="H16" s="61">
        <v>11</v>
      </c>
      <c r="I16" s="63"/>
      <c r="J16" s="63"/>
      <c r="K16" s="63"/>
      <c r="L16" s="63"/>
      <c r="M16" s="63"/>
      <c r="N16" s="63"/>
      <c r="O16" s="63"/>
      <c r="P16" s="80">
        <v>95</v>
      </c>
    </row>
    <row r="17" spans="1:16" ht="43.5">
      <c r="A17" s="61" t="s">
        <v>4</v>
      </c>
      <c r="B17" s="127" t="s">
        <v>1465</v>
      </c>
      <c r="C17" s="131" t="s">
        <v>1464</v>
      </c>
      <c r="D17" s="109">
        <v>1</v>
      </c>
      <c r="E17" s="109">
        <v>2</v>
      </c>
      <c r="F17" s="109">
        <v>1</v>
      </c>
      <c r="G17" s="109">
        <v>0</v>
      </c>
      <c r="H17" s="61">
        <v>0</v>
      </c>
      <c r="I17" s="63"/>
      <c r="J17" s="63"/>
      <c r="K17" s="63"/>
      <c r="L17" s="63"/>
      <c r="M17" s="63"/>
      <c r="N17" s="63"/>
      <c r="O17" s="63"/>
      <c r="P17" s="80">
        <v>4</v>
      </c>
    </row>
    <row r="18" spans="1:16" ht="87">
      <c r="A18" s="61" t="s">
        <v>4</v>
      </c>
      <c r="B18" s="125" t="s">
        <v>1466</v>
      </c>
      <c r="C18" s="164" t="s">
        <v>1467</v>
      </c>
      <c r="D18" s="109">
        <v>7</v>
      </c>
      <c r="E18" s="109">
        <v>6</v>
      </c>
      <c r="F18" s="109">
        <v>7</v>
      </c>
      <c r="G18" s="109">
        <v>4</v>
      </c>
      <c r="H18" s="61">
        <v>1</v>
      </c>
      <c r="I18" s="63"/>
      <c r="J18" s="63"/>
      <c r="K18" s="63"/>
      <c r="L18" s="63"/>
      <c r="M18" s="63"/>
      <c r="N18" s="63"/>
      <c r="O18" s="63"/>
      <c r="P18" s="80">
        <v>25</v>
      </c>
    </row>
    <row r="19" spans="1:16" ht="29">
      <c r="A19" s="61" t="s">
        <v>4</v>
      </c>
      <c r="B19" s="165" t="s">
        <v>1362</v>
      </c>
      <c r="C19" s="135" t="s">
        <v>1363</v>
      </c>
      <c r="D19" s="109">
        <v>0</v>
      </c>
      <c r="E19" s="109">
        <v>0</v>
      </c>
      <c r="F19" s="109">
        <v>0</v>
      </c>
      <c r="G19" s="109">
        <v>0</v>
      </c>
      <c r="H19" s="61">
        <v>0</v>
      </c>
      <c r="I19" s="63"/>
      <c r="J19" s="63"/>
      <c r="K19" s="63"/>
      <c r="L19" s="63"/>
      <c r="M19" s="63"/>
      <c r="N19" s="63"/>
      <c r="O19" s="63"/>
      <c r="P19" s="80">
        <v>0</v>
      </c>
    </row>
    <row r="20" spans="1:16" ht="29">
      <c r="A20" s="61" t="s">
        <v>4</v>
      </c>
      <c r="B20" s="165" t="s">
        <v>1468</v>
      </c>
      <c r="C20" s="135" t="s">
        <v>1469</v>
      </c>
      <c r="D20" s="61"/>
      <c r="E20" s="61"/>
      <c r="F20" s="61"/>
      <c r="G20" s="61"/>
      <c r="H20" s="61"/>
      <c r="I20" s="63"/>
      <c r="J20" s="63"/>
      <c r="K20" s="63"/>
      <c r="L20" s="63"/>
      <c r="M20" s="63"/>
      <c r="N20" s="63"/>
      <c r="O20" s="63"/>
      <c r="P20" s="80">
        <v>0</v>
      </c>
    </row>
    <row r="21" spans="1:16" ht="43.5">
      <c r="A21" s="61" t="s">
        <v>4</v>
      </c>
      <c r="B21" s="165" t="s">
        <v>1470</v>
      </c>
      <c r="C21" s="164" t="s">
        <v>1471</v>
      </c>
      <c r="D21" s="61"/>
      <c r="E21" s="61"/>
      <c r="F21" s="61"/>
      <c r="G21" s="61"/>
      <c r="H21" s="61"/>
      <c r="I21" s="63"/>
      <c r="J21" s="63"/>
      <c r="K21" s="63"/>
      <c r="L21" s="63"/>
      <c r="M21" s="63"/>
      <c r="N21" s="63"/>
      <c r="O21" s="63"/>
      <c r="P21" s="80">
        <v>0</v>
      </c>
    </row>
    <row r="22" spans="1:16" ht="29">
      <c r="A22" s="61" t="s">
        <v>4</v>
      </c>
      <c r="B22" s="165" t="s">
        <v>1472</v>
      </c>
      <c r="C22" s="164" t="s">
        <v>1473</v>
      </c>
      <c r="D22" s="61"/>
      <c r="E22" s="61"/>
      <c r="F22" s="61"/>
      <c r="G22" s="61"/>
      <c r="H22" s="61"/>
      <c r="I22" s="63"/>
      <c r="J22" s="63"/>
      <c r="K22" s="63"/>
      <c r="L22" s="63"/>
      <c r="M22" s="63"/>
      <c r="N22" s="63"/>
      <c r="O22" s="63"/>
      <c r="P22" s="80">
        <v>0</v>
      </c>
    </row>
    <row r="23" spans="1:16">
      <c r="A23" s="61" t="s">
        <v>4</v>
      </c>
      <c r="B23" s="165" t="s">
        <v>1474</v>
      </c>
      <c r="C23" s="164" t="s">
        <v>1475</v>
      </c>
      <c r="D23" s="61"/>
      <c r="E23" s="61"/>
      <c r="F23" s="61"/>
      <c r="G23" s="61"/>
      <c r="H23" s="61"/>
      <c r="I23" s="63"/>
      <c r="J23" s="63"/>
      <c r="K23" s="63"/>
      <c r="L23" s="63"/>
      <c r="M23" s="63"/>
      <c r="N23" s="63"/>
      <c r="O23" s="63"/>
      <c r="P23" s="80">
        <v>0</v>
      </c>
    </row>
    <row r="24" spans="1:16" ht="43.5">
      <c r="A24" s="61" t="s">
        <v>4</v>
      </c>
      <c r="B24" s="165" t="s">
        <v>1366</v>
      </c>
      <c r="C24" s="164" t="s">
        <v>1367</v>
      </c>
      <c r="D24" s="61"/>
      <c r="E24" s="61"/>
      <c r="F24" s="61"/>
      <c r="G24" s="61"/>
      <c r="H24" s="61"/>
      <c r="I24" s="63"/>
      <c r="J24" s="63"/>
      <c r="K24" s="63"/>
      <c r="L24" s="63"/>
      <c r="M24" s="63"/>
      <c r="N24" s="63"/>
      <c r="O24" s="63"/>
      <c r="P24" s="80">
        <v>0</v>
      </c>
    </row>
    <row r="25" spans="1:16" ht="43.5">
      <c r="A25" s="61" t="s">
        <v>4</v>
      </c>
      <c r="B25" s="165" t="s">
        <v>1476</v>
      </c>
      <c r="C25" s="164" t="s">
        <v>1477</v>
      </c>
      <c r="D25" s="61"/>
      <c r="E25" s="61"/>
      <c r="F25" s="61"/>
      <c r="G25" s="61"/>
      <c r="H25" s="61"/>
      <c r="I25" s="63"/>
      <c r="J25" s="63"/>
      <c r="K25" s="63"/>
      <c r="L25" s="63"/>
      <c r="M25" s="63"/>
      <c r="N25" s="63"/>
      <c r="O25" s="63"/>
      <c r="P25" s="80">
        <v>0</v>
      </c>
    </row>
    <row r="26" spans="1:16" ht="29">
      <c r="A26" s="61" t="s">
        <v>4</v>
      </c>
      <c r="B26" s="125" t="s">
        <v>1478</v>
      </c>
      <c r="C26" s="164" t="s">
        <v>1479</v>
      </c>
      <c r="D26" s="61"/>
      <c r="E26" s="61"/>
      <c r="F26" s="61"/>
      <c r="G26" s="61"/>
      <c r="H26" s="61"/>
      <c r="I26" s="63"/>
      <c r="J26" s="63"/>
      <c r="K26" s="63"/>
      <c r="L26" s="63"/>
      <c r="M26" s="63"/>
      <c r="N26" s="63"/>
      <c r="O26" s="63"/>
      <c r="P26" s="80">
        <v>0</v>
      </c>
    </row>
    <row r="27" spans="1:16" ht="29">
      <c r="A27" s="61" t="s">
        <v>4</v>
      </c>
      <c r="B27" s="125" t="s">
        <v>1480</v>
      </c>
      <c r="C27" s="164" t="s">
        <v>1481</v>
      </c>
      <c r="D27" s="61"/>
      <c r="E27" s="61"/>
      <c r="F27" s="61"/>
      <c r="G27" s="61"/>
      <c r="H27" s="61"/>
      <c r="I27" s="63"/>
      <c r="J27" s="63"/>
      <c r="K27" s="63"/>
      <c r="L27" s="63"/>
      <c r="M27" s="63"/>
      <c r="N27" s="63"/>
      <c r="O27" s="63"/>
      <c r="P27" s="80">
        <v>0</v>
      </c>
    </row>
    <row r="28" spans="1:16" ht="101.5">
      <c r="A28" s="61" t="s">
        <v>4</v>
      </c>
      <c r="B28" s="166" t="s">
        <v>1482</v>
      </c>
      <c r="C28" s="163" t="s">
        <v>1483</v>
      </c>
      <c r="D28" s="61"/>
      <c r="E28" s="61"/>
      <c r="F28" s="61"/>
      <c r="G28" s="61"/>
      <c r="H28" s="61"/>
      <c r="I28" s="63"/>
      <c r="J28" s="63"/>
      <c r="K28" s="63"/>
      <c r="L28" s="63"/>
      <c r="M28" s="63"/>
      <c r="N28" s="63"/>
      <c r="O28" s="63"/>
      <c r="P28" s="80">
        <v>0</v>
      </c>
    </row>
    <row r="29" spans="1:16" ht="29">
      <c r="A29" s="40" t="s">
        <v>3</v>
      </c>
      <c r="B29" s="125" t="s">
        <v>1271</v>
      </c>
      <c r="C29" s="126" t="s">
        <v>1307</v>
      </c>
      <c r="D29" s="127">
        <v>0</v>
      </c>
      <c r="E29" s="127">
        <v>1</v>
      </c>
      <c r="F29" s="127">
        <v>0</v>
      </c>
      <c r="G29" s="127">
        <v>1</v>
      </c>
      <c r="H29" s="76"/>
      <c r="I29" s="76"/>
      <c r="J29" s="76"/>
      <c r="K29" s="76"/>
      <c r="L29" s="76"/>
      <c r="M29" s="76"/>
      <c r="N29" s="76"/>
      <c r="O29" s="76"/>
      <c r="P29" s="77">
        <v>2</v>
      </c>
    </row>
    <row r="30" spans="1:16" ht="29">
      <c r="A30" s="40" t="s">
        <v>3</v>
      </c>
      <c r="B30" s="125" t="s">
        <v>1458</v>
      </c>
      <c r="C30" s="126" t="s">
        <v>1459</v>
      </c>
      <c r="D30" s="127"/>
      <c r="E30" s="127"/>
      <c r="F30" s="127"/>
      <c r="G30" s="127"/>
      <c r="H30" s="76"/>
      <c r="I30" s="76"/>
      <c r="J30" s="76"/>
      <c r="K30" s="76"/>
      <c r="L30" s="76"/>
      <c r="M30" s="76"/>
      <c r="N30" s="76"/>
      <c r="O30" s="76"/>
      <c r="P30" s="77" t="s">
        <v>1448</v>
      </c>
    </row>
    <row r="31" spans="1:16" ht="29">
      <c r="A31" s="40" t="s">
        <v>3</v>
      </c>
      <c r="B31" s="125" t="s">
        <v>1460</v>
      </c>
      <c r="C31" s="126" t="s">
        <v>1461</v>
      </c>
      <c r="D31" s="127">
        <v>4</v>
      </c>
      <c r="E31" s="127">
        <v>3</v>
      </c>
      <c r="F31" s="127">
        <v>3</v>
      </c>
      <c r="G31" s="127">
        <v>3</v>
      </c>
      <c r="H31" s="76"/>
      <c r="I31" s="76"/>
      <c r="J31" s="76"/>
      <c r="K31" s="76"/>
      <c r="L31" s="76"/>
      <c r="M31" s="76"/>
      <c r="N31" s="76"/>
      <c r="O31" s="76"/>
      <c r="P31" s="77">
        <v>13</v>
      </c>
    </row>
    <row r="32" spans="1:16" ht="29">
      <c r="A32" s="40" t="s">
        <v>3</v>
      </c>
      <c r="B32" s="125" t="s">
        <v>1272</v>
      </c>
      <c r="C32" s="126" t="s">
        <v>1308</v>
      </c>
      <c r="D32" s="127">
        <v>2</v>
      </c>
      <c r="E32" s="127">
        <v>3</v>
      </c>
      <c r="F32" s="127">
        <v>0</v>
      </c>
      <c r="G32" s="127">
        <v>0</v>
      </c>
      <c r="H32" s="76"/>
      <c r="I32" s="76"/>
      <c r="J32" s="76"/>
      <c r="K32" s="76"/>
      <c r="L32" s="76"/>
      <c r="M32" s="76"/>
      <c r="N32" s="76"/>
      <c r="O32" s="76"/>
      <c r="P32" s="77">
        <v>5</v>
      </c>
    </row>
    <row r="33" spans="1:16" ht="43.5">
      <c r="A33" s="40" t="s">
        <v>3</v>
      </c>
      <c r="B33" s="125" t="s">
        <v>1462</v>
      </c>
      <c r="C33" s="126" t="s">
        <v>1365</v>
      </c>
      <c r="D33" s="127"/>
      <c r="E33" s="127"/>
      <c r="F33" s="127"/>
      <c r="G33" s="127"/>
      <c r="H33" s="76"/>
      <c r="I33" s="76"/>
      <c r="J33" s="76"/>
      <c r="K33" s="76"/>
      <c r="L33" s="76"/>
      <c r="M33" s="76"/>
      <c r="N33" s="76"/>
      <c r="O33" s="76"/>
      <c r="P33" s="77" t="s">
        <v>1448</v>
      </c>
    </row>
    <row r="34" spans="1:16" ht="43.5">
      <c r="A34" s="40" t="s">
        <v>3</v>
      </c>
      <c r="B34" s="125" t="s">
        <v>1463</v>
      </c>
      <c r="C34" s="126" t="s">
        <v>1464</v>
      </c>
      <c r="D34" s="127"/>
      <c r="E34" s="127"/>
      <c r="F34" s="127"/>
      <c r="G34" s="127"/>
      <c r="H34" s="76"/>
      <c r="I34" s="76"/>
      <c r="J34" s="76"/>
      <c r="K34" s="76"/>
      <c r="L34" s="76"/>
      <c r="M34" s="76"/>
      <c r="N34" s="76"/>
      <c r="O34" s="76"/>
      <c r="P34" s="77" t="s">
        <v>1448</v>
      </c>
    </row>
    <row r="35" spans="1:16" ht="43.5">
      <c r="A35" s="40" t="s">
        <v>3</v>
      </c>
      <c r="B35" s="127" t="s">
        <v>1364</v>
      </c>
      <c r="C35" s="126" t="s">
        <v>1365</v>
      </c>
      <c r="D35" s="127"/>
      <c r="E35" s="127"/>
      <c r="F35" s="127"/>
      <c r="G35" s="127"/>
      <c r="H35" s="76"/>
      <c r="I35" s="76"/>
      <c r="J35" s="76"/>
      <c r="K35" s="76"/>
      <c r="L35" s="76"/>
      <c r="M35" s="76"/>
      <c r="N35" s="76"/>
      <c r="O35" s="76"/>
      <c r="P35" s="77" t="s">
        <v>1448</v>
      </c>
    </row>
    <row r="36" spans="1:16" ht="43.5">
      <c r="A36" s="40" t="s">
        <v>3</v>
      </c>
      <c r="B36" s="127" t="s">
        <v>1465</v>
      </c>
      <c r="C36" s="126" t="s">
        <v>1464</v>
      </c>
      <c r="D36" s="127"/>
      <c r="E36" s="127"/>
      <c r="F36" s="127"/>
      <c r="G36" s="127"/>
      <c r="H36" s="76"/>
      <c r="I36" s="76"/>
      <c r="J36" s="76"/>
      <c r="K36" s="76"/>
      <c r="L36" s="76"/>
      <c r="M36" s="76"/>
      <c r="N36" s="76"/>
      <c r="O36" s="76"/>
      <c r="P36" s="77" t="s">
        <v>1448</v>
      </c>
    </row>
    <row r="37" spans="1:16" ht="87">
      <c r="A37" s="40" t="s">
        <v>3</v>
      </c>
      <c r="B37" s="125" t="s">
        <v>1466</v>
      </c>
      <c r="C37" s="189" t="s">
        <v>1467</v>
      </c>
      <c r="D37" s="127">
        <v>64</v>
      </c>
      <c r="E37" s="127">
        <v>69</v>
      </c>
      <c r="F37" s="127">
        <v>73</v>
      </c>
      <c r="G37" s="127">
        <v>55</v>
      </c>
      <c r="H37" s="76"/>
      <c r="I37" s="76"/>
      <c r="J37" s="76"/>
      <c r="K37" s="76"/>
      <c r="L37" s="76"/>
      <c r="M37" s="76"/>
      <c r="N37" s="76"/>
      <c r="O37" s="76"/>
      <c r="P37" s="77">
        <v>261</v>
      </c>
    </row>
    <row r="38" spans="1:16" ht="29">
      <c r="A38" s="40" t="s">
        <v>3</v>
      </c>
      <c r="B38" s="165" t="s">
        <v>1362</v>
      </c>
      <c r="C38" s="189" t="s">
        <v>1363</v>
      </c>
      <c r="D38" s="127">
        <v>77</v>
      </c>
      <c r="E38" s="127">
        <v>67</v>
      </c>
      <c r="F38" s="127">
        <v>93</v>
      </c>
      <c r="G38" s="127">
        <v>87</v>
      </c>
      <c r="H38" s="76"/>
      <c r="I38" s="76"/>
      <c r="J38" s="76"/>
      <c r="K38" s="76"/>
      <c r="L38" s="76"/>
      <c r="M38" s="76"/>
      <c r="N38" s="76"/>
      <c r="O38" s="76"/>
      <c r="P38" s="77">
        <v>324</v>
      </c>
    </row>
    <row r="39" spans="1:16" ht="29">
      <c r="A39" s="40" t="s">
        <v>3</v>
      </c>
      <c r="B39" s="165" t="s">
        <v>1468</v>
      </c>
      <c r="C39" s="189" t="s">
        <v>1469</v>
      </c>
      <c r="D39" s="127"/>
      <c r="E39" s="127"/>
      <c r="F39" s="127"/>
      <c r="G39" s="127"/>
      <c r="H39" s="76"/>
      <c r="I39" s="76"/>
      <c r="J39" s="76"/>
      <c r="K39" s="76"/>
      <c r="L39" s="76"/>
      <c r="M39" s="76"/>
      <c r="N39" s="76"/>
      <c r="O39" s="76"/>
      <c r="P39" s="77" t="s">
        <v>1448</v>
      </c>
    </row>
    <row r="40" spans="1:16" ht="43.5">
      <c r="A40" s="40" t="s">
        <v>3</v>
      </c>
      <c r="B40" s="165" t="s">
        <v>1470</v>
      </c>
      <c r="C40" s="189" t="s">
        <v>1471</v>
      </c>
      <c r="D40" s="127"/>
      <c r="E40" s="127"/>
      <c r="F40" s="127"/>
      <c r="G40" s="127"/>
      <c r="H40" s="76"/>
      <c r="I40" s="76"/>
      <c r="J40" s="76"/>
      <c r="K40" s="76"/>
      <c r="L40" s="76"/>
      <c r="M40" s="76"/>
      <c r="N40" s="76"/>
      <c r="O40" s="76"/>
      <c r="P40" s="77" t="s">
        <v>1448</v>
      </c>
    </row>
    <row r="41" spans="1:16" ht="43.5">
      <c r="A41" s="40" t="s">
        <v>3</v>
      </c>
      <c r="B41" s="165" t="s">
        <v>1472</v>
      </c>
      <c r="C41" s="189" t="s">
        <v>1473</v>
      </c>
      <c r="D41" s="127"/>
      <c r="E41" s="127"/>
      <c r="F41" s="127"/>
      <c r="G41" s="127"/>
      <c r="H41" s="76"/>
      <c r="I41" s="76"/>
      <c r="J41" s="76"/>
      <c r="K41" s="76"/>
      <c r="L41" s="76"/>
      <c r="M41" s="76"/>
      <c r="N41" s="76"/>
      <c r="O41" s="76"/>
      <c r="P41" s="77" t="s">
        <v>1448</v>
      </c>
    </row>
    <row r="42" spans="1:16">
      <c r="A42" s="40" t="s">
        <v>3</v>
      </c>
      <c r="B42" s="165" t="s">
        <v>1474</v>
      </c>
      <c r="C42" s="189" t="s">
        <v>1475</v>
      </c>
      <c r="D42" s="127">
        <v>1015</v>
      </c>
      <c r="E42" s="127">
        <v>1064</v>
      </c>
      <c r="F42" s="127">
        <v>1085</v>
      </c>
      <c r="G42" s="127">
        <v>1147</v>
      </c>
      <c r="H42" s="76"/>
      <c r="I42" s="76"/>
      <c r="J42" s="76"/>
      <c r="K42" s="76"/>
      <c r="L42" s="76"/>
      <c r="M42" s="76"/>
      <c r="N42" s="76"/>
      <c r="O42" s="76"/>
      <c r="P42" s="77">
        <v>4311</v>
      </c>
    </row>
    <row r="43" spans="1:16" ht="43.5">
      <c r="A43" s="40" t="s">
        <v>3</v>
      </c>
      <c r="B43" s="165" t="s">
        <v>1366</v>
      </c>
      <c r="C43" s="189" t="s">
        <v>1367</v>
      </c>
      <c r="D43" s="127"/>
      <c r="E43" s="127"/>
      <c r="F43" s="127"/>
      <c r="G43" s="127"/>
      <c r="H43" s="76"/>
      <c r="I43" s="76"/>
      <c r="J43" s="76"/>
      <c r="K43" s="76"/>
      <c r="L43" s="76"/>
      <c r="M43" s="76"/>
      <c r="N43" s="76"/>
      <c r="O43" s="76"/>
      <c r="P43" s="77" t="s">
        <v>1448</v>
      </c>
    </row>
    <row r="44" spans="1:16" ht="43.5">
      <c r="A44" s="40" t="s">
        <v>3</v>
      </c>
      <c r="B44" s="165" t="s">
        <v>1476</v>
      </c>
      <c r="C44" s="189" t="s">
        <v>1477</v>
      </c>
      <c r="D44" s="127"/>
      <c r="E44" s="127"/>
      <c r="F44" s="127"/>
      <c r="G44" s="127"/>
      <c r="H44" s="76"/>
      <c r="I44" s="76"/>
      <c r="J44" s="76"/>
      <c r="K44" s="76"/>
      <c r="L44" s="76"/>
      <c r="M44" s="76"/>
      <c r="N44" s="76"/>
      <c r="O44" s="76"/>
      <c r="P44" s="77" t="s">
        <v>1448</v>
      </c>
    </row>
    <row r="45" spans="1:16" ht="29">
      <c r="A45" s="40" t="s">
        <v>3</v>
      </c>
      <c r="B45" s="125" t="s">
        <v>1478</v>
      </c>
      <c r="C45" s="189" t="s">
        <v>1479</v>
      </c>
      <c r="D45" s="127">
        <v>19</v>
      </c>
      <c r="E45" s="127">
        <v>21</v>
      </c>
      <c r="F45" s="127">
        <v>21</v>
      </c>
      <c r="G45" s="127">
        <v>24</v>
      </c>
      <c r="H45" s="76"/>
      <c r="I45" s="76"/>
      <c r="J45" s="76"/>
      <c r="K45" s="76"/>
      <c r="L45" s="76"/>
      <c r="M45" s="76"/>
      <c r="N45" s="76"/>
      <c r="O45" s="76"/>
      <c r="P45" s="77">
        <v>85</v>
      </c>
    </row>
    <row r="46" spans="1:16" ht="29">
      <c r="A46" s="40" t="s">
        <v>3</v>
      </c>
      <c r="B46" s="125" t="s">
        <v>1480</v>
      </c>
      <c r="C46" s="189" t="s">
        <v>1481</v>
      </c>
      <c r="D46" s="127">
        <v>40</v>
      </c>
      <c r="E46" s="127">
        <v>36</v>
      </c>
      <c r="F46" s="127">
        <v>43</v>
      </c>
      <c r="G46" s="127">
        <v>47</v>
      </c>
      <c r="H46" s="76"/>
      <c r="I46" s="76"/>
      <c r="J46" s="76"/>
      <c r="K46" s="76"/>
      <c r="L46" s="76"/>
      <c r="M46" s="76"/>
      <c r="N46" s="76"/>
      <c r="O46" s="76"/>
      <c r="P46" s="77">
        <v>166</v>
      </c>
    </row>
    <row r="47" spans="1:16" ht="101.5">
      <c r="A47" s="40" t="s">
        <v>3</v>
      </c>
      <c r="B47" s="166" t="s">
        <v>1482</v>
      </c>
      <c r="C47" s="190" t="s">
        <v>1483</v>
      </c>
      <c r="D47" s="127">
        <v>121</v>
      </c>
      <c r="E47" s="127">
        <v>129</v>
      </c>
      <c r="F47" s="127">
        <v>163</v>
      </c>
      <c r="G47" s="127">
        <v>150</v>
      </c>
      <c r="H47" s="127"/>
      <c r="I47" s="127"/>
      <c r="J47" s="127"/>
      <c r="K47" s="127"/>
      <c r="L47" s="127"/>
      <c r="M47" s="127"/>
      <c r="N47" s="127"/>
      <c r="O47" s="127"/>
      <c r="P47" s="77">
        <v>563</v>
      </c>
    </row>
  </sheetData>
  <conditionalFormatting sqref="B3:B7">
    <cfRule type="duplicateValues" dxfId="105" priority="19"/>
  </conditionalFormatting>
  <conditionalFormatting sqref="B8:B9">
    <cfRule type="duplicateValues" dxfId="66" priority="18"/>
  </conditionalFormatting>
  <conditionalFormatting sqref="B10:B15 B18">
    <cfRule type="duplicateValues" dxfId="50" priority="12"/>
  </conditionalFormatting>
  <conditionalFormatting sqref="B10:B15 B18:B28">
    <cfRule type="duplicateValues" dxfId="49" priority="17"/>
  </conditionalFormatting>
  <conditionalFormatting sqref="B16:B17">
    <cfRule type="duplicateValues" dxfId="48" priority="10"/>
    <cfRule type="duplicateValues" dxfId="47" priority="11"/>
  </conditionalFormatting>
  <conditionalFormatting sqref="B19:B20">
    <cfRule type="duplicateValues" dxfId="46" priority="15"/>
  </conditionalFormatting>
  <conditionalFormatting sqref="B21">
    <cfRule type="duplicateValues" dxfId="45" priority="16"/>
  </conditionalFormatting>
  <conditionalFormatting sqref="B22">
    <cfRule type="duplicateValues" dxfId="44" priority="13"/>
  </conditionalFormatting>
  <conditionalFormatting sqref="B23:B27">
    <cfRule type="duplicateValues" dxfId="43" priority="14"/>
  </conditionalFormatting>
  <conditionalFormatting sqref="B29:B34 B37">
    <cfRule type="duplicateValues" dxfId="26" priority="4"/>
  </conditionalFormatting>
  <conditionalFormatting sqref="B29:B34 B37:B47">
    <cfRule type="duplicateValues" dxfId="25" priority="3"/>
  </conditionalFormatting>
  <conditionalFormatting sqref="B35:B36">
    <cfRule type="duplicateValues" dxfId="24" priority="1"/>
    <cfRule type="duplicateValues" dxfId="23" priority="2"/>
  </conditionalFormatting>
  <conditionalFormatting sqref="B38:B39">
    <cfRule type="duplicateValues" dxfId="22" priority="7"/>
  </conditionalFormatting>
  <conditionalFormatting sqref="B40">
    <cfRule type="duplicateValues" dxfId="21" priority="8"/>
  </conditionalFormatting>
  <conditionalFormatting sqref="B41">
    <cfRule type="duplicateValues" dxfId="20" priority="5"/>
  </conditionalFormatting>
  <conditionalFormatting sqref="B42:B46">
    <cfRule type="duplicateValues" dxfId="19" priority="6"/>
  </conditionalFormatting>
  <conditionalFormatting sqref="C37:C46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Q148"/>
  <sheetViews>
    <sheetView zoomScale="85" zoomScaleNormal="85" workbookViewId="0">
      <selection activeCell="A84" sqref="A84:Q148"/>
    </sheetView>
  </sheetViews>
  <sheetFormatPr defaultColWidth="8.7265625" defaultRowHeight="14.5"/>
  <cols>
    <col min="1" max="1" width="6.54296875" style="38" customWidth="1"/>
    <col min="2" max="2" width="12.81640625" style="38" customWidth="1"/>
    <col min="3" max="3" width="35.1796875" style="113" customWidth="1"/>
    <col min="4" max="16384" width="8.7265625" style="38"/>
  </cols>
  <sheetData>
    <row r="1" spans="1:16" s="47" customFormat="1" ht="20.149999999999999" customHeight="1">
      <c r="A1" s="32" t="s">
        <v>1185</v>
      </c>
      <c r="B1" s="33"/>
      <c r="C1" s="112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65" t="s">
        <v>1183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>
      <c r="A3" s="25" t="s">
        <v>2</v>
      </c>
      <c r="B3" s="128" t="s">
        <v>1368</v>
      </c>
      <c r="C3" s="129" t="s">
        <v>1369</v>
      </c>
      <c r="D3" s="127">
        <v>58</v>
      </c>
      <c r="E3" s="127">
        <v>71</v>
      </c>
      <c r="F3" s="127">
        <v>87</v>
      </c>
      <c r="G3" s="127">
        <v>69</v>
      </c>
      <c r="H3" s="76"/>
      <c r="I3" s="76"/>
      <c r="J3" s="76"/>
      <c r="K3" s="76"/>
      <c r="L3" s="76"/>
      <c r="M3" s="76"/>
      <c r="N3" s="76"/>
      <c r="O3" s="76"/>
      <c r="P3" s="77">
        <v>285</v>
      </c>
    </row>
    <row r="4" spans="1:16">
      <c r="A4" s="25" t="s">
        <v>2</v>
      </c>
      <c r="B4" s="128" t="s">
        <v>1370</v>
      </c>
      <c r="C4" s="129" t="s">
        <v>1369</v>
      </c>
      <c r="D4" s="127">
        <v>16</v>
      </c>
      <c r="E4" s="127">
        <v>15</v>
      </c>
      <c r="F4" s="127">
        <v>15</v>
      </c>
      <c r="G4" s="127">
        <v>7</v>
      </c>
      <c r="H4" s="76"/>
      <c r="I4" s="76"/>
      <c r="J4" s="76"/>
      <c r="K4" s="76"/>
      <c r="L4" s="76"/>
      <c r="M4" s="76"/>
      <c r="N4" s="76"/>
      <c r="O4" s="76"/>
      <c r="P4" s="77">
        <v>53</v>
      </c>
    </row>
    <row r="5" spans="1:16">
      <c r="A5" s="25" t="s">
        <v>2</v>
      </c>
      <c r="B5" s="128" t="s">
        <v>1371</v>
      </c>
      <c r="C5" s="129" t="s">
        <v>1369</v>
      </c>
      <c r="D5" s="127">
        <v>31</v>
      </c>
      <c r="E5" s="127">
        <v>36</v>
      </c>
      <c r="F5" s="127">
        <v>29</v>
      </c>
      <c r="G5" s="127">
        <v>22</v>
      </c>
      <c r="H5" s="76"/>
      <c r="I5" s="76"/>
      <c r="J5" s="76"/>
      <c r="K5" s="76"/>
      <c r="L5" s="76"/>
      <c r="M5" s="76"/>
      <c r="N5" s="76"/>
      <c r="O5" s="76"/>
      <c r="P5" s="77">
        <v>118</v>
      </c>
    </row>
    <row r="6" spans="1:16">
      <c r="A6" s="25" t="s">
        <v>2</v>
      </c>
      <c r="B6" s="128" t="s">
        <v>1372</v>
      </c>
      <c r="C6" s="129" t="s">
        <v>1369</v>
      </c>
      <c r="D6" s="127">
        <v>2</v>
      </c>
      <c r="E6" s="127">
        <v>6</v>
      </c>
      <c r="F6" s="127">
        <v>4</v>
      </c>
      <c r="G6" s="127">
        <v>6</v>
      </c>
      <c r="H6" s="76"/>
      <c r="I6" s="76"/>
      <c r="J6" s="76"/>
      <c r="K6" s="76"/>
      <c r="L6" s="76"/>
      <c r="M6" s="76"/>
      <c r="N6" s="76"/>
      <c r="O6" s="76"/>
      <c r="P6" s="77">
        <v>18</v>
      </c>
    </row>
    <row r="7" spans="1:16" ht="43.5">
      <c r="A7" s="25" t="s">
        <v>2</v>
      </c>
      <c r="B7" s="128" t="s">
        <v>1276</v>
      </c>
      <c r="C7" s="129" t="s">
        <v>1310</v>
      </c>
      <c r="D7" s="127">
        <v>53</v>
      </c>
      <c r="E7" s="127">
        <v>64</v>
      </c>
      <c r="F7" s="127">
        <v>54</v>
      </c>
      <c r="G7" s="127">
        <v>73</v>
      </c>
      <c r="H7" s="76"/>
      <c r="I7" s="76"/>
      <c r="J7" s="76"/>
      <c r="K7" s="76"/>
      <c r="L7" s="76"/>
      <c r="M7" s="76"/>
      <c r="N7" s="76"/>
      <c r="O7" s="76"/>
      <c r="P7" s="77">
        <v>244</v>
      </c>
    </row>
    <row r="8" spans="1:16" ht="29">
      <c r="A8" s="25" t="s">
        <v>2</v>
      </c>
      <c r="B8" s="128" t="s">
        <v>1322</v>
      </c>
      <c r="C8" s="129" t="s">
        <v>1273</v>
      </c>
      <c r="D8" s="127">
        <v>82</v>
      </c>
      <c r="E8" s="127">
        <v>86</v>
      </c>
      <c r="F8" s="127">
        <v>78</v>
      </c>
      <c r="G8" s="127">
        <v>100</v>
      </c>
      <c r="H8" s="76"/>
      <c r="I8" s="76"/>
      <c r="J8" s="76"/>
      <c r="K8" s="76"/>
      <c r="L8" s="76"/>
      <c r="M8" s="76"/>
      <c r="N8" s="76"/>
      <c r="O8" s="76"/>
      <c r="P8" s="77">
        <v>346</v>
      </c>
    </row>
    <row r="9" spans="1:16" ht="29">
      <c r="A9" s="25" t="s">
        <v>2</v>
      </c>
      <c r="B9" s="128" t="s">
        <v>1275</v>
      </c>
      <c r="C9" s="129" t="s">
        <v>1309</v>
      </c>
      <c r="D9" s="127">
        <v>10</v>
      </c>
      <c r="E9" s="127">
        <v>9</v>
      </c>
      <c r="F9" s="127">
        <v>8</v>
      </c>
      <c r="G9" s="127">
        <v>10</v>
      </c>
      <c r="H9" s="76"/>
      <c r="I9" s="76"/>
      <c r="J9" s="76"/>
      <c r="K9" s="76"/>
      <c r="L9" s="76"/>
      <c r="M9" s="76"/>
      <c r="N9" s="76"/>
      <c r="O9" s="76"/>
      <c r="P9" s="77">
        <v>37</v>
      </c>
    </row>
    <row r="10" spans="1:16" ht="29">
      <c r="A10" s="25" t="s">
        <v>2</v>
      </c>
      <c r="B10" s="128" t="s">
        <v>1323</v>
      </c>
      <c r="C10" s="129" t="s">
        <v>1274</v>
      </c>
      <c r="D10" s="127">
        <v>100</v>
      </c>
      <c r="E10" s="127">
        <v>108</v>
      </c>
      <c r="F10" s="127">
        <v>97</v>
      </c>
      <c r="G10" s="127">
        <v>115</v>
      </c>
      <c r="H10" s="76"/>
      <c r="I10" s="76"/>
      <c r="J10" s="76"/>
      <c r="K10" s="76"/>
      <c r="L10" s="76"/>
      <c r="M10" s="76"/>
      <c r="N10" s="76"/>
      <c r="O10" s="76"/>
      <c r="P10" s="77">
        <v>420</v>
      </c>
    </row>
    <row r="11" spans="1:16" ht="29.25" customHeight="1">
      <c r="A11" s="25" t="s">
        <v>2</v>
      </c>
      <c r="B11" s="130" t="s">
        <v>1373</v>
      </c>
      <c r="C11" s="129" t="s">
        <v>1374</v>
      </c>
      <c r="D11" s="127">
        <v>48</v>
      </c>
      <c r="E11" s="127">
        <v>59</v>
      </c>
      <c r="F11" s="127">
        <v>49</v>
      </c>
      <c r="G11" s="127">
        <v>68</v>
      </c>
      <c r="H11" s="76"/>
      <c r="I11" s="76"/>
      <c r="J11" s="76"/>
      <c r="K11" s="76"/>
      <c r="L11" s="76"/>
      <c r="M11" s="76"/>
      <c r="N11" s="76"/>
      <c r="O11" s="76"/>
      <c r="P11" s="77">
        <v>224</v>
      </c>
    </row>
    <row r="12" spans="1:16" ht="43.5">
      <c r="A12" s="25" t="s">
        <v>2</v>
      </c>
      <c r="B12" s="130" t="s">
        <v>1375</v>
      </c>
      <c r="C12" s="131" t="s">
        <v>1376</v>
      </c>
      <c r="D12" s="127">
        <v>2</v>
      </c>
      <c r="E12" s="127">
        <v>2</v>
      </c>
      <c r="F12" s="127">
        <v>2</v>
      </c>
      <c r="G12" s="127">
        <v>2</v>
      </c>
      <c r="H12" s="76"/>
      <c r="I12" s="76"/>
      <c r="J12" s="76"/>
      <c r="K12" s="76"/>
      <c r="L12" s="76"/>
      <c r="M12" s="76"/>
      <c r="N12" s="76"/>
      <c r="O12" s="76"/>
      <c r="P12" s="77">
        <v>8</v>
      </c>
    </row>
    <row r="13" spans="1:16">
      <c r="A13" s="25" t="s">
        <v>2</v>
      </c>
      <c r="B13" s="130" t="s">
        <v>1377</v>
      </c>
      <c r="C13" s="131" t="s">
        <v>1378</v>
      </c>
      <c r="D13" s="127">
        <v>19</v>
      </c>
      <c r="E13" s="127">
        <v>18</v>
      </c>
      <c r="F13" s="127">
        <v>12</v>
      </c>
      <c r="G13" s="127">
        <v>24</v>
      </c>
      <c r="H13" s="76"/>
      <c r="I13" s="76"/>
      <c r="J13" s="76"/>
      <c r="K13" s="76"/>
      <c r="L13" s="76"/>
      <c r="M13" s="76"/>
      <c r="N13" s="76"/>
      <c r="O13" s="76"/>
      <c r="P13" s="77">
        <v>73</v>
      </c>
    </row>
    <row r="14" spans="1:16">
      <c r="A14" s="25" t="s">
        <v>2</v>
      </c>
      <c r="B14" s="130" t="s">
        <v>1377</v>
      </c>
      <c r="C14" s="131" t="s">
        <v>1379</v>
      </c>
      <c r="D14" s="127">
        <v>111</v>
      </c>
      <c r="E14" s="127">
        <v>115</v>
      </c>
      <c r="F14" s="127">
        <v>114</v>
      </c>
      <c r="G14" s="127">
        <v>132</v>
      </c>
      <c r="H14" s="76"/>
      <c r="I14" s="76"/>
      <c r="J14" s="76"/>
      <c r="K14" s="76"/>
      <c r="L14" s="76"/>
      <c r="M14" s="76"/>
      <c r="N14" s="76"/>
      <c r="O14" s="76"/>
      <c r="P14" s="77">
        <v>472</v>
      </c>
    </row>
    <row r="15" spans="1:16" ht="29">
      <c r="A15" s="25" t="s">
        <v>2</v>
      </c>
      <c r="B15" s="130" t="s">
        <v>1380</v>
      </c>
      <c r="C15" s="131" t="s">
        <v>1381</v>
      </c>
      <c r="D15" s="127"/>
      <c r="E15" s="127">
        <v>1</v>
      </c>
      <c r="F15" s="127">
        <v>1</v>
      </c>
      <c r="G15" s="127">
        <v>2</v>
      </c>
      <c r="H15" s="76"/>
      <c r="I15" s="76"/>
      <c r="J15" s="76"/>
      <c r="K15" s="76"/>
      <c r="L15" s="76"/>
      <c r="M15" s="76"/>
      <c r="N15" s="76"/>
      <c r="O15" s="76"/>
      <c r="P15" s="77">
        <v>4</v>
      </c>
    </row>
    <row r="16" spans="1:16">
      <c r="A16" s="25" t="s">
        <v>2</v>
      </c>
      <c r="B16" s="130" t="s">
        <v>1382</v>
      </c>
      <c r="C16" s="131" t="s">
        <v>1383</v>
      </c>
      <c r="D16" s="132">
        <v>22</v>
      </c>
      <c r="E16" s="132">
        <v>22</v>
      </c>
      <c r="F16" s="132">
        <v>22</v>
      </c>
      <c r="G16" s="132">
        <v>22</v>
      </c>
      <c r="H16" s="76"/>
      <c r="I16" s="76"/>
      <c r="J16" s="76"/>
      <c r="K16" s="76"/>
      <c r="L16" s="76"/>
      <c r="M16" s="76"/>
      <c r="N16" s="76"/>
      <c r="O16" s="76"/>
      <c r="P16" s="77">
        <v>88</v>
      </c>
    </row>
    <row r="17" spans="1:16" ht="29">
      <c r="A17" s="25" t="s">
        <v>2</v>
      </c>
      <c r="B17" s="130" t="s">
        <v>1384</v>
      </c>
      <c r="C17" s="131" t="s">
        <v>1385</v>
      </c>
      <c r="D17" s="127">
        <v>1</v>
      </c>
      <c r="E17" s="127">
        <v>1</v>
      </c>
      <c r="F17" s="127">
        <v>1</v>
      </c>
      <c r="G17" s="127">
        <v>1</v>
      </c>
      <c r="H17" s="76"/>
      <c r="I17" s="76"/>
      <c r="J17" s="76"/>
      <c r="K17" s="76"/>
      <c r="L17" s="76"/>
      <c r="M17" s="76"/>
      <c r="N17" s="76"/>
      <c r="O17" s="76"/>
      <c r="P17" s="77">
        <v>4</v>
      </c>
    </row>
    <row r="18" spans="1:16" ht="29">
      <c r="A18" s="25" t="s">
        <v>2</v>
      </c>
      <c r="B18" s="130" t="s">
        <v>1326</v>
      </c>
      <c r="C18" s="133" t="s">
        <v>1279</v>
      </c>
      <c r="D18" s="127">
        <v>74</v>
      </c>
      <c r="E18" s="127">
        <v>86</v>
      </c>
      <c r="F18" s="127">
        <v>105</v>
      </c>
      <c r="G18" s="127">
        <v>77</v>
      </c>
      <c r="H18" s="76"/>
      <c r="I18" s="76"/>
      <c r="J18" s="76"/>
      <c r="K18" s="76"/>
      <c r="L18" s="76"/>
      <c r="M18" s="76"/>
      <c r="N18" s="76"/>
      <c r="O18" s="76"/>
      <c r="P18" s="77">
        <v>342</v>
      </c>
    </row>
    <row r="19" spans="1:16">
      <c r="A19" s="25" t="s">
        <v>2</v>
      </c>
      <c r="B19" s="130" t="s">
        <v>1386</v>
      </c>
      <c r="C19" s="133" t="s">
        <v>1387</v>
      </c>
      <c r="D19" s="127"/>
      <c r="E19" s="127"/>
      <c r="F19" s="127">
        <v>2</v>
      </c>
      <c r="G19" s="127">
        <v>1</v>
      </c>
      <c r="H19" s="76"/>
      <c r="I19" s="76"/>
      <c r="J19" s="76"/>
      <c r="K19" s="76"/>
      <c r="L19" s="76"/>
      <c r="M19" s="76"/>
      <c r="N19" s="76"/>
      <c r="O19" s="76"/>
      <c r="P19" s="77">
        <v>3</v>
      </c>
    </row>
    <row r="20" spans="1:16">
      <c r="A20" s="25" t="s">
        <v>2</v>
      </c>
      <c r="B20" s="130" t="s">
        <v>1388</v>
      </c>
      <c r="C20" s="133" t="s">
        <v>1387</v>
      </c>
      <c r="D20" s="127"/>
      <c r="E20" s="127">
        <v>1</v>
      </c>
      <c r="F20" s="127"/>
      <c r="G20" s="127">
        <v>1</v>
      </c>
      <c r="H20" s="76"/>
      <c r="I20" s="76"/>
      <c r="J20" s="76"/>
      <c r="K20" s="76"/>
      <c r="L20" s="76"/>
      <c r="M20" s="76"/>
      <c r="N20" s="76"/>
      <c r="O20" s="76"/>
      <c r="P20" s="77">
        <v>2</v>
      </c>
    </row>
    <row r="21" spans="1:16">
      <c r="A21" s="25" t="s">
        <v>2</v>
      </c>
      <c r="B21" s="130" t="s">
        <v>1389</v>
      </c>
      <c r="C21" s="133" t="s">
        <v>1387</v>
      </c>
      <c r="D21" s="127">
        <v>1</v>
      </c>
      <c r="E21" s="127">
        <v>1</v>
      </c>
      <c r="F21" s="127"/>
      <c r="G21" s="127">
        <v>1</v>
      </c>
      <c r="H21" s="76"/>
      <c r="I21" s="76"/>
      <c r="J21" s="76"/>
      <c r="K21" s="76"/>
      <c r="L21" s="76"/>
      <c r="M21" s="76"/>
      <c r="N21" s="76"/>
      <c r="O21" s="76"/>
      <c r="P21" s="77">
        <v>3</v>
      </c>
    </row>
    <row r="22" spans="1:16">
      <c r="A22" s="25" t="s">
        <v>2</v>
      </c>
      <c r="B22" s="130" t="s">
        <v>1390</v>
      </c>
      <c r="C22" s="133" t="s">
        <v>1387</v>
      </c>
      <c r="D22" s="127"/>
      <c r="E22" s="127"/>
      <c r="F22" s="127"/>
      <c r="G22" s="127">
        <v>1</v>
      </c>
      <c r="H22" s="76"/>
      <c r="I22" s="76"/>
      <c r="J22" s="76"/>
      <c r="K22" s="76"/>
      <c r="L22" s="76"/>
      <c r="M22" s="76"/>
      <c r="N22" s="76"/>
      <c r="O22" s="76"/>
      <c r="P22" s="77">
        <v>1</v>
      </c>
    </row>
    <row r="23" spans="1:16">
      <c r="A23" s="25" t="s">
        <v>2</v>
      </c>
      <c r="B23" s="130" t="s">
        <v>1391</v>
      </c>
      <c r="C23" s="133" t="s">
        <v>1387</v>
      </c>
      <c r="D23" s="127">
        <v>2</v>
      </c>
      <c r="E23" s="127">
        <v>1</v>
      </c>
      <c r="F23" s="127"/>
      <c r="G23" s="127"/>
      <c r="H23" s="76"/>
      <c r="I23" s="76"/>
      <c r="J23" s="76"/>
      <c r="K23" s="76"/>
      <c r="L23" s="76"/>
      <c r="M23" s="76"/>
      <c r="N23" s="76"/>
      <c r="O23" s="76"/>
      <c r="P23" s="77">
        <v>3</v>
      </c>
    </row>
    <row r="24" spans="1:16">
      <c r="A24" s="25" t="s">
        <v>2</v>
      </c>
      <c r="B24" s="130" t="s">
        <v>1392</v>
      </c>
      <c r="C24" s="133" t="s">
        <v>1387</v>
      </c>
      <c r="D24" s="127"/>
      <c r="E24" s="127">
        <v>1</v>
      </c>
      <c r="F24" s="127"/>
      <c r="G24" s="127"/>
      <c r="H24" s="76"/>
      <c r="I24" s="76"/>
      <c r="J24" s="76"/>
      <c r="K24" s="76"/>
      <c r="L24" s="76"/>
      <c r="M24" s="76"/>
      <c r="N24" s="76"/>
      <c r="O24" s="76"/>
      <c r="P24" s="77">
        <v>1</v>
      </c>
    </row>
    <row r="25" spans="1:16" ht="29">
      <c r="A25" s="25" t="s">
        <v>2</v>
      </c>
      <c r="B25" s="130" t="s">
        <v>1393</v>
      </c>
      <c r="C25" s="133" t="s">
        <v>1394</v>
      </c>
      <c r="D25" s="127"/>
      <c r="E25" s="127">
        <v>7</v>
      </c>
      <c r="F25" s="127">
        <v>13</v>
      </c>
      <c r="G25" s="127">
        <v>21</v>
      </c>
      <c r="H25" s="76"/>
      <c r="I25" s="76"/>
      <c r="J25" s="76"/>
      <c r="K25" s="76"/>
      <c r="L25" s="76"/>
      <c r="M25" s="76"/>
      <c r="N25" s="76"/>
      <c r="O25" s="76"/>
      <c r="P25" s="77">
        <v>41</v>
      </c>
    </row>
    <row r="26" spans="1:16">
      <c r="A26" s="25" t="s">
        <v>2</v>
      </c>
      <c r="B26" s="130" t="s">
        <v>1395</v>
      </c>
      <c r="C26" s="133" t="s">
        <v>1396</v>
      </c>
      <c r="D26" s="127">
        <v>1</v>
      </c>
      <c r="E26" s="127">
        <v>1</v>
      </c>
      <c r="F26" s="127">
        <v>1</v>
      </c>
      <c r="G26" s="127">
        <v>1</v>
      </c>
      <c r="H26" s="76"/>
      <c r="I26" s="76"/>
      <c r="J26" s="76"/>
      <c r="K26" s="76"/>
      <c r="L26" s="76"/>
      <c r="M26" s="76"/>
      <c r="N26" s="76"/>
      <c r="O26" s="76"/>
      <c r="P26" s="77">
        <v>4</v>
      </c>
    </row>
    <row r="27" spans="1:16" ht="29">
      <c r="A27" s="25" t="s">
        <v>2</v>
      </c>
      <c r="B27" s="130" t="s">
        <v>1422</v>
      </c>
      <c r="C27" s="135" t="s">
        <v>1423</v>
      </c>
      <c r="D27" s="127">
        <v>1174</v>
      </c>
      <c r="E27" s="127">
        <v>1210</v>
      </c>
      <c r="F27" s="127">
        <v>1273</v>
      </c>
      <c r="G27" s="127">
        <v>1492</v>
      </c>
      <c r="H27" s="76"/>
      <c r="I27" s="76"/>
      <c r="J27" s="76"/>
      <c r="K27" s="76"/>
      <c r="L27" s="76"/>
      <c r="M27" s="76"/>
      <c r="N27" s="76"/>
      <c r="O27" s="76"/>
      <c r="P27" s="77">
        <v>5149</v>
      </c>
    </row>
    <row r="28" spans="1:16" ht="29">
      <c r="A28" s="25" t="s">
        <v>2</v>
      </c>
      <c r="B28" s="130" t="s">
        <v>1424</v>
      </c>
      <c r="C28" s="133" t="s">
        <v>1309</v>
      </c>
      <c r="D28" s="127">
        <v>37</v>
      </c>
      <c r="E28" s="127">
        <v>41</v>
      </c>
      <c r="F28" s="127">
        <v>55</v>
      </c>
      <c r="G28" s="127">
        <v>60</v>
      </c>
      <c r="H28" s="76"/>
      <c r="I28" s="76"/>
      <c r="J28" s="76"/>
      <c r="K28" s="76"/>
      <c r="L28" s="76"/>
      <c r="M28" s="76"/>
      <c r="N28" s="76"/>
      <c r="O28" s="76"/>
      <c r="P28" s="77">
        <v>193</v>
      </c>
    </row>
    <row r="29" spans="1:16" ht="29">
      <c r="A29" s="25" t="s">
        <v>2</v>
      </c>
      <c r="B29" s="128" t="s">
        <v>1275</v>
      </c>
      <c r="C29" s="129" t="s">
        <v>1309</v>
      </c>
      <c r="D29" s="127">
        <v>47</v>
      </c>
      <c r="E29" s="127">
        <v>37</v>
      </c>
      <c r="F29" s="127">
        <v>54</v>
      </c>
      <c r="G29" s="127">
        <v>40</v>
      </c>
      <c r="H29" s="76"/>
      <c r="I29" s="76"/>
      <c r="J29" s="76"/>
      <c r="K29" s="76"/>
      <c r="L29" s="76"/>
      <c r="M29" s="76"/>
      <c r="N29" s="76"/>
      <c r="O29" s="76"/>
      <c r="P29" s="77">
        <v>178</v>
      </c>
    </row>
    <row r="30" spans="1:16" ht="58">
      <c r="A30" s="25" t="s">
        <v>2</v>
      </c>
      <c r="B30" s="128" t="s">
        <v>1276</v>
      </c>
      <c r="C30" s="129" t="s">
        <v>1425</v>
      </c>
      <c r="D30" s="127">
        <v>92</v>
      </c>
      <c r="E30" s="127">
        <v>93</v>
      </c>
      <c r="F30" s="127">
        <v>65</v>
      </c>
      <c r="G30" s="127">
        <v>65</v>
      </c>
      <c r="H30" s="76"/>
      <c r="I30" s="76"/>
      <c r="J30" s="76"/>
      <c r="K30" s="76"/>
      <c r="L30" s="76"/>
      <c r="M30" s="76"/>
      <c r="N30" s="76"/>
      <c r="O30" s="76"/>
      <c r="P30" s="77">
        <v>315</v>
      </c>
    </row>
    <row r="31" spans="1:16" ht="43.5">
      <c r="A31" s="25" t="s">
        <v>2</v>
      </c>
      <c r="B31" s="128" t="s">
        <v>1276</v>
      </c>
      <c r="C31" s="129" t="s">
        <v>1426</v>
      </c>
      <c r="D31" s="127">
        <v>53</v>
      </c>
      <c r="E31" s="127">
        <v>64</v>
      </c>
      <c r="F31" s="127">
        <v>54</v>
      </c>
      <c r="G31" s="127">
        <v>73</v>
      </c>
      <c r="H31" s="76"/>
      <c r="I31" s="76"/>
      <c r="J31" s="76"/>
      <c r="K31" s="76"/>
      <c r="L31" s="76"/>
      <c r="M31" s="76"/>
      <c r="N31" s="76"/>
      <c r="O31" s="76"/>
      <c r="P31" s="77">
        <v>244</v>
      </c>
    </row>
    <row r="32" spans="1:16">
      <c r="A32" s="25" t="s">
        <v>2</v>
      </c>
      <c r="B32" s="75" t="s">
        <v>1427</v>
      </c>
      <c r="C32" s="75" t="s">
        <v>1428</v>
      </c>
      <c r="D32" s="25">
        <v>215</v>
      </c>
      <c r="E32" s="25">
        <v>231</v>
      </c>
      <c r="F32" s="25">
        <v>177</v>
      </c>
      <c r="G32" s="26">
        <v>162</v>
      </c>
      <c r="H32" s="76"/>
      <c r="I32" s="76"/>
      <c r="J32" s="76"/>
      <c r="K32" s="76"/>
      <c r="L32" s="76"/>
      <c r="M32" s="76"/>
      <c r="N32" s="76"/>
      <c r="O32" s="76"/>
      <c r="P32" s="77">
        <v>785</v>
      </c>
    </row>
    <row r="33" spans="1:17" ht="29">
      <c r="A33" s="25" t="s">
        <v>2</v>
      </c>
      <c r="B33" s="75" t="s">
        <v>1424</v>
      </c>
      <c r="C33" s="75" t="s">
        <v>1309</v>
      </c>
      <c r="D33" s="25">
        <v>61</v>
      </c>
      <c r="E33" s="25">
        <v>59</v>
      </c>
      <c r="F33" s="25">
        <v>54</v>
      </c>
      <c r="G33" s="26">
        <v>50</v>
      </c>
      <c r="H33" s="76"/>
      <c r="I33" s="76"/>
      <c r="J33" s="76"/>
      <c r="K33" s="76"/>
      <c r="L33" s="76"/>
      <c r="M33" s="76"/>
      <c r="N33" s="76"/>
      <c r="O33" s="76"/>
      <c r="P33" s="77">
        <v>224</v>
      </c>
    </row>
    <row r="34" spans="1:17" ht="43.5">
      <c r="A34" s="25" t="s">
        <v>2</v>
      </c>
      <c r="B34" s="75" t="s">
        <v>1429</v>
      </c>
      <c r="C34" s="75" t="s">
        <v>1430</v>
      </c>
      <c r="D34" s="25">
        <v>52</v>
      </c>
      <c r="E34" s="25">
        <v>51</v>
      </c>
      <c r="F34" s="25">
        <v>46</v>
      </c>
      <c r="G34" s="26">
        <v>42</v>
      </c>
      <c r="H34" s="76"/>
      <c r="I34" s="76"/>
      <c r="J34" s="76"/>
      <c r="K34" s="76"/>
      <c r="L34" s="76"/>
      <c r="M34" s="76"/>
      <c r="N34" s="76"/>
      <c r="O34" s="76"/>
      <c r="P34" s="77">
        <v>191</v>
      </c>
    </row>
    <row r="35" spans="1:17" ht="43.5">
      <c r="A35" s="25" t="s">
        <v>1</v>
      </c>
      <c r="B35" s="74" t="s">
        <v>1312</v>
      </c>
      <c r="C35" s="75" t="s">
        <v>1313</v>
      </c>
      <c r="D35" s="25">
        <v>23</v>
      </c>
      <c r="E35" s="25">
        <v>25</v>
      </c>
      <c r="F35" s="25">
        <v>75</v>
      </c>
      <c r="G35" s="26">
        <v>40</v>
      </c>
      <c r="H35" s="76"/>
      <c r="I35" s="76"/>
      <c r="J35" s="76"/>
      <c r="K35" s="76"/>
      <c r="L35" s="76"/>
      <c r="M35" s="76"/>
      <c r="N35" s="76"/>
      <c r="O35" s="76"/>
      <c r="P35" s="77">
        <v>163</v>
      </c>
      <c r="Q35" s="38" t="s">
        <v>1324</v>
      </c>
    </row>
    <row r="36" spans="1:17" ht="43.5">
      <c r="A36" s="25" t="s">
        <v>1</v>
      </c>
      <c r="B36" s="74" t="s">
        <v>1277</v>
      </c>
      <c r="C36" s="75" t="s">
        <v>1311</v>
      </c>
      <c r="D36" s="25">
        <v>346</v>
      </c>
      <c r="E36" s="25">
        <v>360</v>
      </c>
      <c r="F36" s="25">
        <v>385</v>
      </c>
      <c r="G36" s="26">
        <v>407</v>
      </c>
      <c r="H36" s="76"/>
      <c r="I36" s="76"/>
      <c r="J36" s="76"/>
      <c r="K36" s="76"/>
      <c r="L36" s="76"/>
      <c r="M36" s="76"/>
      <c r="N36" s="76"/>
      <c r="O36" s="76"/>
      <c r="P36" s="77">
        <v>1498</v>
      </c>
      <c r="Q36" s="38" t="s">
        <v>1325</v>
      </c>
    </row>
    <row r="37" spans="1:17" ht="29">
      <c r="A37" s="25" t="s">
        <v>1</v>
      </c>
      <c r="B37" s="74" t="s">
        <v>1278</v>
      </c>
      <c r="C37" s="75" t="s">
        <v>1279</v>
      </c>
      <c r="D37" s="25">
        <v>3</v>
      </c>
      <c r="E37" s="25">
        <v>1</v>
      </c>
      <c r="F37" s="25">
        <v>2</v>
      </c>
      <c r="G37" s="26">
        <v>2</v>
      </c>
      <c r="H37" s="76"/>
      <c r="I37" s="76"/>
      <c r="J37" s="76"/>
      <c r="K37" s="76"/>
      <c r="L37" s="76"/>
      <c r="M37" s="76"/>
      <c r="N37" s="76"/>
      <c r="O37" s="76"/>
      <c r="P37" s="77">
        <v>8</v>
      </c>
      <c r="Q37" s="38" t="s">
        <v>1326</v>
      </c>
    </row>
    <row r="38" spans="1:17">
      <c r="A38" s="25" t="s">
        <v>1</v>
      </c>
      <c r="B38" s="74" t="s">
        <v>1280</v>
      </c>
      <c r="C38" s="75" t="s">
        <v>1281</v>
      </c>
      <c r="D38" s="25">
        <v>1</v>
      </c>
      <c r="E38" s="25">
        <v>12</v>
      </c>
      <c r="F38" s="25"/>
      <c r="G38" s="26">
        <v>1</v>
      </c>
      <c r="H38" s="76"/>
      <c r="I38" s="76"/>
      <c r="J38" s="76"/>
      <c r="K38" s="76"/>
      <c r="L38" s="76"/>
      <c r="M38" s="76"/>
      <c r="N38" s="76"/>
      <c r="O38" s="76"/>
      <c r="P38" s="77">
        <v>14</v>
      </c>
      <c r="Q38" s="38" t="s">
        <v>1327</v>
      </c>
    </row>
    <row r="39" spans="1:17" ht="43.5">
      <c r="A39" s="25" t="s">
        <v>1</v>
      </c>
      <c r="B39" s="74" t="s">
        <v>1314</v>
      </c>
      <c r="C39" s="75" t="s">
        <v>1315</v>
      </c>
      <c r="D39" s="26">
        <v>10</v>
      </c>
      <c r="E39" s="25">
        <v>16</v>
      </c>
      <c r="F39" s="25">
        <v>17</v>
      </c>
      <c r="G39" s="25">
        <v>16</v>
      </c>
      <c r="H39" s="76"/>
      <c r="I39" s="76"/>
      <c r="J39" s="76"/>
      <c r="K39" s="76"/>
      <c r="L39" s="76"/>
      <c r="M39" s="76"/>
      <c r="N39" s="76"/>
      <c r="O39" s="76"/>
      <c r="P39" s="77">
        <v>59</v>
      </c>
      <c r="Q39" s="38" t="s">
        <v>1328</v>
      </c>
    </row>
    <row r="40" spans="1:17" ht="29">
      <c r="A40" s="25" t="s">
        <v>1</v>
      </c>
      <c r="B40" s="74" t="s">
        <v>1316</v>
      </c>
      <c r="C40" s="75" t="s">
        <v>1317</v>
      </c>
      <c r="D40" s="26">
        <v>1</v>
      </c>
      <c r="E40" s="25">
        <v>4</v>
      </c>
      <c r="F40" s="25">
        <v>2</v>
      </c>
      <c r="G40" s="25">
        <v>3</v>
      </c>
      <c r="H40" s="76"/>
      <c r="I40" s="76"/>
      <c r="J40" s="76"/>
      <c r="K40" s="76"/>
      <c r="L40" s="76"/>
      <c r="M40" s="76"/>
      <c r="N40" s="76"/>
      <c r="O40" s="76"/>
      <c r="P40" s="77">
        <v>10</v>
      </c>
      <c r="Q40" s="38" t="s">
        <v>1329</v>
      </c>
    </row>
    <row r="41" spans="1:17" ht="43.5">
      <c r="A41" s="25" t="s">
        <v>1</v>
      </c>
      <c r="B41" s="74" t="s">
        <v>1282</v>
      </c>
      <c r="C41" s="75" t="s">
        <v>1311</v>
      </c>
      <c r="D41" s="28">
        <v>19</v>
      </c>
      <c r="E41" s="25">
        <v>16</v>
      </c>
      <c r="F41" s="25">
        <v>17</v>
      </c>
      <c r="G41" s="25">
        <v>10</v>
      </c>
      <c r="H41" s="76"/>
      <c r="I41" s="76"/>
      <c r="J41" s="76"/>
      <c r="K41" s="76"/>
      <c r="L41" s="76"/>
      <c r="M41" s="76"/>
      <c r="N41" s="76"/>
      <c r="O41" s="76"/>
      <c r="P41" s="77">
        <v>62</v>
      </c>
      <c r="Q41" s="38" t="s">
        <v>1325</v>
      </c>
    </row>
    <row r="42" spans="1:17" ht="43.5">
      <c r="A42" s="25" t="s">
        <v>1</v>
      </c>
      <c r="B42" s="74" t="s">
        <v>1283</v>
      </c>
      <c r="C42" s="75" t="s">
        <v>1311</v>
      </c>
      <c r="D42" s="28">
        <v>16</v>
      </c>
      <c r="E42" s="25">
        <v>15</v>
      </c>
      <c r="F42" s="25">
        <v>17</v>
      </c>
      <c r="G42" s="25">
        <v>19</v>
      </c>
      <c r="H42" s="76"/>
      <c r="I42" s="76"/>
      <c r="J42" s="76"/>
      <c r="K42" s="76"/>
      <c r="L42" s="76"/>
      <c r="M42" s="76"/>
      <c r="N42" s="76"/>
      <c r="O42" s="76"/>
      <c r="P42" s="77">
        <v>67</v>
      </c>
      <c r="Q42" s="38" t="s">
        <v>1325</v>
      </c>
    </row>
    <row r="43" spans="1:17">
      <c r="A43" s="25" t="s">
        <v>4</v>
      </c>
      <c r="B43" s="167" t="s">
        <v>1484</v>
      </c>
      <c r="C43" s="133" t="s">
        <v>1485</v>
      </c>
      <c r="D43" s="25">
        <v>0</v>
      </c>
      <c r="E43" s="25">
        <v>1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>
        <v>0</v>
      </c>
      <c r="L43" s="25">
        <v>0</v>
      </c>
      <c r="M43" s="25">
        <v>0</v>
      </c>
      <c r="N43" s="25">
        <v>0</v>
      </c>
      <c r="O43" s="25">
        <v>0</v>
      </c>
      <c r="P43" s="77">
        <v>1</v>
      </c>
    </row>
    <row r="44" spans="1:17" ht="29">
      <c r="A44" s="25" t="s">
        <v>4</v>
      </c>
      <c r="B44" s="167" t="s">
        <v>1486</v>
      </c>
      <c r="C44" s="133" t="s">
        <v>1309</v>
      </c>
      <c r="D44" s="25">
        <v>1</v>
      </c>
      <c r="E44" s="25">
        <v>1</v>
      </c>
      <c r="F44" s="25">
        <v>4</v>
      </c>
      <c r="G44" s="25">
        <v>5</v>
      </c>
      <c r="H44" s="25">
        <v>2</v>
      </c>
      <c r="I44" s="76">
        <v>0</v>
      </c>
      <c r="J44" s="76">
        <v>0</v>
      </c>
      <c r="K44" s="76">
        <v>0</v>
      </c>
      <c r="L44" s="76">
        <v>0</v>
      </c>
      <c r="M44" s="76">
        <v>0</v>
      </c>
      <c r="N44" s="76">
        <v>0</v>
      </c>
      <c r="O44" s="76">
        <v>0</v>
      </c>
      <c r="P44" s="77">
        <v>13</v>
      </c>
    </row>
    <row r="45" spans="1:17">
      <c r="A45" s="25" t="s">
        <v>4</v>
      </c>
      <c r="B45" s="167" t="s">
        <v>1386</v>
      </c>
      <c r="C45" s="133" t="s">
        <v>1387</v>
      </c>
      <c r="D45" s="25">
        <v>0</v>
      </c>
      <c r="E45" s="25">
        <v>1</v>
      </c>
      <c r="F45" s="25">
        <v>1</v>
      </c>
      <c r="G45" s="25">
        <v>2</v>
      </c>
      <c r="H45" s="25">
        <v>1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7">
        <v>5</v>
      </c>
    </row>
    <row r="46" spans="1:17" ht="43.5">
      <c r="A46" s="25" t="s">
        <v>4</v>
      </c>
      <c r="B46" s="167" t="s">
        <v>1487</v>
      </c>
      <c r="C46" s="133" t="s">
        <v>1310</v>
      </c>
      <c r="D46" s="25">
        <v>3</v>
      </c>
      <c r="E46" s="25">
        <v>7</v>
      </c>
      <c r="F46" s="25">
        <v>0</v>
      </c>
      <c r="G46" s="25">
        <v>0</v>
      </c>
      <c r="H46" s="25">
        <v>0</v>
      </c>
      <c r="I46" s="76">
        <v>0</v>
      </c>
      <c r="J46" s="76">
        <v>0</v>
      </c>
      <c r="K46" s="76">
        <v>0</v>
      </c>
      <c r="L46" s="76">
        <v>0</v>
      </c>
      <c r="M46" s="76">
        <v>0</v>
      </c>
      <c r="N46" s="76">
        <v>0</v>
      </c>
      <c r="O46" s="76">
        <v>0</v>
      </c>
      <c r="P46" s="77">
        <v>10</v>
      </c>
    </row>
    <row r="47" spans="1:17" ht="43.5">
      <c r="A47" s="25" t="s">
        <v>4</v>
      </c>
      <c r="B47" s="167" t="s">
        <v>1488</v>
      </c>
      <c r="C47" s="133" t="s">
        <v>1311</v>
      </c>
      <c r="D47" s="25">
        <v>0</v>
      </c>
      <c r="E47" s="25">
        <v>0</v>
      </c>
      <c r="F47" s="25">
        <v>0</v>
      </c>
      <c r="G47" s="25">
        <v>1</v>
      </c>
      <c r="H47" s="25">
        <v>5</v>
      </c>
      <c r="I47" s="25">
        <v>0</v>
      </c>
      <c r="J47" s="25">
        <v>0</v>
      </c>
      <c r="K47" s="25">
        <v>0</v>
      </c>
      <c r="L47" s="25">
        <v>0</v>
      </c>
      <c r="M47" s="25">
        <v>0</v>
      </c>
      <c r="N47" s="25">
        <v>0</v>
      </c>
      <c r="O47" s="25">
        <v>0</v>
      </c>
      <c r="P47" s="77">
        <v>6</v>
      </c>
    </row>
    <row r="48" spans="1:17" ht="29">
      <c r="A48" s="25" t="s">
        <v>4</v>
      </c>
      <c r="B48" s="167" t="s">
        <v>1322</v>
      </c>
      <c r="C48" s="135" t="s">
        <v>1273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76">
        <v>0</v>
      </c>
      <c r="J48" s="76">
        <v>0</v>
      </c>
      <c r="K48" s="76">
        <v>0</v>
      </c>
      <c r="L48" s="76">
        <v>0</v>
      </c>
      <c r="M48" s="76">
        <v>0</v>
      </c>
      <c r="N48" s="76">
        <v>0</v>
      </c>
      <c r="O48" s="76">
        <v>0</v>
      </c>
      <c r="P48" s="77">
        <v>0</v>
      </c>
    </row>
    <row r="49" spans="1:16" ht="29">
      <c r="A49" s="25" t="s">
        <v>4</v>
      </c>
      <c r="B49" s="167" t="s">
        <v>1326</v>
      </c>
      <c r="C49" s="133" t="s">
        <v>1279</v>
      </c>
      <c r="D49" s="25">
        <v>1</v>
      </c>
      <c r="E49" s="25">
        <v>0</v>
      </c>
      <c r="F49" s="25">
        <v>0</v>
      </c>
      <c r="G49" s="25">
        <v>0</v>
      </c>
      <c r="H49" s="25">
        <v>0</v>
      </c>
      <c r="I49" s="76">
        <v>0</v>
      </c>
      <c r="J49" s="76"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7">
        <v>1</v>
      </c>
    </row>
    <row r="50" spans="1:16" ht="43.5">
      <c r="A50" s="25" t="s">
        <v>4</v>
      </c>
      <c r="B50" s="167" t="s">
        <v>1375</v>
      </c>
      <c r="C50" s="133" t="s">
        <v>1376</v>
      </c>
      <c r="D50" s="25">
        <v>8</v>
      </c>
      <c r="E50" s="25">
        <v>25</v>
      </c>
      <c r="F50" s="25">
        <v>19</v>
      </c>
      <c r="G50" s="25">
        <v>13</v>
      </c>
      <c r="H50" s="25">
        <v>3</v>
      </c>
      <c r="I50" s="76">
        <v>3</v>
      </c>
      <c r="J50" s="76">
        <v>0</v>
      </c>
      <c r="K50" s="76">
        <v>0</v>
      </c>
      <c r="L50" s="76">
        <v>0</v>
      </c>
      <c r="M50" s="76">
        <v>0</v>
      </c>
      <c r="N50" s="76">
        <v>0</v>
      </c>
      <c r="O50" s="76">
        <v>0</v>
      </c>
      <c r="P50" s="77">
        <v>71</v>
      </c>
    </row>
    <row r="51" spans="1:16" ht="29">
      <c r="A51" s="25" t="s">
        <v>4</v>
      </c>
      <c r="B51" s="167" t="s">
        <v>1489</v>
      </c>
      <c r="C51" s="133" t="s">
        <v>1490</v>
      </c>
      <c r="D51" s="25">
        <v>6</v>
      </c>
      <c r="E51" s="25">
        <v>3</v>
      </c>
      <c r="F51" s="25">
        <v>3</v>
      </c>
      <c r="G51" s="25">
        <v>0</v>
      </c>
      <c r="H51" s="25">
        <v>0</v>
      </c>
      <c r="I51" s="25">
        <v>0</v>
      </c>
      <c r="J51" s="25">
        <v>0</v>
      </c>
      <c r="K51" s="25">
        <v>0</v>
      </c>
      <c r="L51" s="25">
        <v>0</v>
      </c>
      <c r="M51" s="25">
        <v>0</v>
      </c>
      <c r="N51" s="25">
        <v>0</v>
      </c>
      <c r="O51" s="25">
        <v>0</v>
      </c>
      <c r="P51" s="77">
        <v>12</v>
      </c>
    </row>
    <row r="52" spans="1:16">
      <c r="A52" s="25" t="s">
        <v>4</v>
      </c>
      <c r="B52" s="167" t="s">
        <v>1491</v>
      </c>
      <c r="C52" s="133" t="s">
        <v>1492</v>
      </c>
      <c r="D52" s="25">
        <v>0</v>
      </c>
      <c r="E52" s="25">
        <v>0</v>
      </c>
      <c r="F52" s="25">
        <v>45</v>
      </c>
      <c r="G52" s="25">
        <v>48</v>
      </c>
      <c r="H52" s="25">
        <v>50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N52" s="25">
        <v>0</v>
      </c>
      <c r="O52" s="25">
        <v>0</v>
      </c>
      <c r="P52" s="77">
        <v>143</v>
      </c>
    </row>
    <row r="53" spans="1:16" ht="29">
      <c r="A53" s="25" t="s">
        <v>4</v>
      </c>
      <c r="B53" s="167" t="s">
        <v>1329</v>
      </c>
      <c r="C53" s="133" t="s">
        <v>1317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5">
        <v>0</v>
      </c>
      <c r="L53" s="25">
        <v>0</v>
      </c>
      <c r="M53" s="25">
        <v>0</v>
      </c>
      <c r="N53" s="25">
        <v>0</v>
      </c>
      <c r="O53" s="25">
        <v>0</v>
      </c>
      <c r="P53" s="77">
        <v>0</v>
      </c>
    </row>
    <row r="54" spans="1:16">
      <c r="A54" s="25" t="s">
        <v>4</v>
      </c>
      <c r="B54" s="167" t="s">
        <v>1493</v>
      </c>
      <c r="C54" s="133" t="s">
        <v>1494</v>
      </c>
      <c r="D54" s="25">
        <v>84</v>
      </c>
      <c r="E54" s="25">
        <v>139</v>
      </c>
      <c r="F54" s="25">
        <v>126</v>
      </c>
      <c r="G54" s="25">
        <v>121</v>
      </c>
      <c r="H54" s="25">
        <v>124</v>
      </c>
      <c r="I54" s="25">
        <v>8</v>
      </c>
      <c r="J54" s="25">
        <v>0</v>
      </c>
      <c r="K54" s="25">
        <v>0</v>
      </c>
      <c r="L54" s="25">
        <v>0</v>
      </c>
      <c r="M54" s="25">
        <v>0</v>
      </c>
      <c r="N54" s="25">
        <v>0</v>
      </c>
      <c r="O54" s="25">
        <v>0</v>
      </c>
      <c r="P54" s="77">
        <v>602</v>
      </c>
    </row>
    <row r="55" spans="1:16" ht="43.5">
      <c r="A55" s="25" t="s">
        <v>4</v>
      </c>
      <c r="B55" s="167" t="s">
        <v>1429</v>
      </c>
      <c r="C55" s="133" t="s">
        <v>1430</v>
      </c>
      <c r="D55" s="25">
        <v>196</v>
      </c>
      <c r="E55" s="25">
        <v>119</v>
      </c>
      <c r="F55" s="25">
        <v>201</v>
      </c>
      <c r="G55" s="25">
        <v>146</v>
      </c>
      <c r="H55" s="25">
        <v>74</v>
      </c>
      <c r="I55" s="25">
        <v>2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77">
        <v>738</v>
      </c>
    </row>
    <row r="56" spans="1:16" ht="29">
      <c r="A56" s="25" t="s">
        <v>4</v>
      </c>
      <c r="B56" s="167" t="s">
        <v>1393</v>
      </c>
      <c r="C56" s="133" t="s">
        <v>1394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5">
        <v>0</v>
      </c>
      <c r="L56" s="25">
        <v>0</v>
      </c>
      <c r="M56" s="25">
        <v>0</v>
      </c>
      <c r="N56" s="25">
        <v>0</v>
      </c>
      <c r="O56" s="25">
        <v>0</v>
      </c>
      <c r="P56" s="77">
        <v>0</v>
      </c>
    </row>
    <row r="57" spans="1:16" ht="29">
      <c r="A57" s="25" t="s">
        <v>4</v>
      </c>
      <c r="B57" s="167" t="s">
        <v>1495</v>
      </c>
      <c r="C57" s="133" t="s">
        <v>1496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5">
        <v>0</v>
      </c>
      <c r="L57" s="25">
        <v>0</v>
      </c>
      <c r="M57" s="25">
        <v>0</v>
      </c>
      <c r="N57" s="25">
        <v>0</v>
      </c>
      <c r="O57" s="25">
        <v>0</v>
      </c>
      <c r="P57" s="77">
        <v>0</v>
      </c>
    </row>
    <row r="58" spans="1:16">
      <c r="A58" s="168" t="s">
        <v>4</v>
      </c>
      <c r="B58" s="169" t="s">
        <v>1497</v>
      </c>
      <c r="C58" s="170" t="s">
        <v>1498</v>
      </c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>
        <v>0</v>
      </c>
    </row>
    <row r="59" spans="1:16">
      <c r="A59" s="25" t="s">
        <v>4</v>
      </c>
      <c r="B59" s="165" t="s">
        <v>1499</v>
      </c>
      <c r="C59" s="162" t="s">
        <v>1500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77">
        <v>0</v>
      </c>
    </row>
    <row r="60" spans="1:16" ht="29">
      <c r="A60" s="25" t="s">
        <v>4</v>
      </c>
      <c r="B60" s="167" t="s">
        <v>1422</v>
      </c>
      <c r="C60" s="135" t="s">
        <v>1423</v>
      </c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77">
        <v>0</v>
      </c>
    </row>
    <row r="61" spans="1:16" ht="29">
      <c r="A61" s="25" t="s">
        <v>4</v>
      </c>
      <c r="B61" s="167" t="s">
        <v>1384</v>
      </c>
      <c r="C61" s="133" t="s">
        <v>1385</v>
      </c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77">
        <v>0</v>
      </c>
    </row>
    <row r="62" spans="1:16" ht="29">
      <c r="A62" s="25" t="s">
        <v>4</v>
      </c>
      <c r="B62" s="167" t="s">
        <v>1373</v>
      </c>
      <c r="C62" s="133" t="s">
        <v>1374</v>
      </c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77">
        <v>0</v>
      </c>
    </row>
    <row r="63" spans="1:16" ht="29">
      <c r="A63" s="25" t="s">
        <v>4</v>
      </c>
      <c r="B63" s="167" t="s">
        <v>1501</v>
      </c>
      <c r="C63" s="133" t="s">
        <v>1374</v>
      </c>
      <c r="D63" s="25"/>
      <c r="E63" s="25"/>
      <c r="F63" s="25"/>
      <c r="G63" s="25"/>
      <c r="H63" s="76"/>
      <c r="I63" s="76"/>
      <c r="J63" s="76"/>
      <c r="K63" s="76"/>
      <c r="L63" s="76"/>
      <c r="M63" s="76"/>
      <c r="N63" s="76"/>
      <c r="O63" s="76"/>
      <c r="P63" s="77">
        <v>0</v>
      </c>
    </row>
    <row r="64" spans="1:16" ht="43.5">
      <c r="A64" s="25" t="s">
        <v>4</v>
      </c>
      <c r="B64" s="167" t="s">
        <v>1502</v>
      </c>
      <c r="C64" s="133" t="s">
        <v>1503</v>
      </c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77">
        <v>0</v>
      </c>
    </row>
    <row r="65" spans="1:16" ht="29">
      <c r="A65" s="25" t="s">
        <v>4</v>
      </c>
      <c r="B65" s="167" t="s">
        <v>1380</v>
      </c>
      <c r="C65" s="133" t="s">
        <v>1381</v>
      </c>
      <c r="D65" s="25"/>
      <c r="E65" s="25"/>
      <c r="F65" s="25"/>
      <c r="G65" s="25"/>
      <c r="H65" s="76"/>
      <c r="I65" s="76"/>
      <c r="J65" s="76"/>
      <c r="K65" s="76"/>
      <c r="L65" s="76"/>
      <c r="M65" s="76"/>
      <c r="N65" s="76"/>
      <c r="O65" s="76"/>
      <c r="P65" s="77">
        <v>0</v>
      </c>
    </row>
    <row r="66" spans="1:16">
      <c r="A66" s="25" t="s">
        <v>4</v>
      </c>
      <c r="B66" s="167" t="s">
        <v>1427</v>
      </c>
      <c r="C66" s="133" t="s">
        <v>1428</v>
      </c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77">
        <v>0</v>
      </c>
    </row>
    <row r="67" spans="1:16" ht="29">
      <c r="A67" s="25" t="s">
        <v>4</v>
      </c>
      <c r="B67" s="167" t="s">
        <v>1504</v>
      </c>
      <c r="C67" s="133" t="s">
        <v>1505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77">
        <v>0</v>
      </c>
    </row>
    <row r="68" spans="1:16">
      <c r="A68" s="25" t="s">
        <v>4</v>
      </c>
      <c r="B68" s="167" t="s">
        <v>1377</v>
      </c>
      <c r="C68" s="133" t="s">
        <v>1506</v>
      </c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77">
        <v>0</v>
      </c>
    </row>
    <row r="69" spans="1:16" ht="29">
      <c r="A69" s="25" t="s">
        <v>4</v>
      </c>
      <c r="B69" s="173" t="s">
        <v>1507</v>
      </c>
      <c r="C69" s="133" t="s">
        <v>1508</v>
      </c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77">
        <v>0</v>
      </c>
    </row>
    <row r="70" spans="1:16">
      <c r="A70" s="25" t="s">
        <v>4</v>
      </c>
      <c r="B70" s="167" t="s">
        <v>1509</v>
      </c>
      <c r="C70" s="133" t="s">
        <v>1510</v>
      </c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77">
        <v>0</v>
      </c>
    </row>
    <row r="71" spans="1:16" ht="43.5">
      <c r="A71" s="25" t="s">
        <v>4</v>
      </c>
      <c r="B71" s="167" t="s">
        <v>1324</v>
      </c>
      <c r="C71" s="133" t="s">
        <v>1313</v>
      </c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77">
        <v>0</v>
      </c>
    </row>
    <row r="72" spans="1:16" ht="43.5">
      <c r="A72" s="25" t="s">
        <v>4</v>
      </c>
      <c r="B72" s="167" t="s">
        <v>1328</v>
      </c>
      <c r="C72" s="133" t="s">
        <v>1315</v>
      </c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77">
        <v>0</v>
      </c>
    </row>
    <row r="73" spans="1:16">
      <c r="A73" s="25" t="s">
        <v>4</v>
      </c>
      <c r="B73" s="167" t="s">
        <v>1511</v>
      </c>
      <c r="C73" s="133" t="s">
        <v>1512</v>
      </c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77">
        <v>0</v>
      </c>
    </row>
    <row r="74" spans="1:16">
      <c r="A74" s="25" t="s">
        <v>4</v>
      </c>
      <c r="B74" s="167" t="s">
        <v>1513</v>
      </c>
      <c r="C74" s="133" t="s">
        <v>1369</v>
      </c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77">
        <v>0</v>
      </c>
    </row>
    <row r="75" spans="1:16">
      <c r="A75" s="25" t="s">
        <v>4</v>
      </c>
      <c r="B75" s="167" t="s">
        <v>1514</v>
      </c>
      <c r="C75" s="133" t="s">
        <v>1515</v>
      </c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77">
        <v>0</v>
      </c>
    </row>
    <row r="76" spans="1:16">
      <c r="A76" s="25" t="s">
        <v>4</v>
      </c>
      <c r="B76" s="165" t="s">
        <v>1382</v>
      </c>
      <c r="C76" s="135" t="s">
        <v>1383</v>
      </c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77">
        <v>0</v>
      </c>
    </row>
    <row r="77" spans="1:16">
      <c r="A77" s="25" t="s">
        <v>4</v>
      </c>
      <c r="B77" s="167" t="s">
        <v>1395</v>
      </c>
      <c r="C77" s="133" t="s">
        <v>1396</v>
      </c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77">
        <v>0</v>
      </c>
    </row>
    <row r="78" spans="1:16">
      <c r="A78" s="25" t="s">
        <v>4</v>
      </c>
      <c r="B78" s="167" t="s">
        <v>1516</v>
      </c>
      <c r="C78" s="133" t="s">
        <v>1517</v>
      </c>
      <c r="D78" s="25"/>
      <c r="E78" s="25"/>
      <c r="F78" s="25"/>
      <c r="G78" s="25"/>
      <c r="H78" s="76"/>
      <c r="I78" s="76"/>
      <c r="J78" s="76"/>
      <c r="K78" s="76"/>
      <c r="L78" s="76"/>
      <c r="M78" s="76"/>
      <c r="N78" s="76"/>
      <c r="O78" s="76"/>
      <c r="P78" s="77">
        <v>0</v>
      </c>
    </row>
    <row r="79" spans="1:16" ht="29">
      <c r="A79" s="25" t="s">
        <v>4</v>
      </c>
      <c r="B79" s="173" t="s">
        <v>1518</v>
      </c>
      <c r="C79" s="133" t="s">
        <v>1519</v>
      </c>
      <c r="D79" s="25"/>
      <c r="E79" s="25"/>
      <c r="F79" s="25"/>
      <c r="G79" s="25"/>
      <c r="H79" s="76"/>
      <c r="I79" s="76"/>
      <c r="J79" s="76"/>
      <c r="K79" s="76"/>
      <c r="L79" s="76"/>
      <c r="M79" s="76"/>
      <c r="N79" s="76"/>
      <c r="O79" s="76"/>
      <c r="P79" s="77">
        <v>0</v>
      </c>
    </row>
    <row r="80" spans="1:16" ht="43.5">
      <c r="A80" s="25" t="s">
        <v>4</v>
      </c>
      <c r="B80" s="167" t="s">
        <v>1520</v>
      </c>
      <c r="C80" s="133" t="s">
        <v>1521</v>
      </c>
      <c r="D80" s="25"/>
      <c r="E80" s="25"/>
      <c r="F80" s="25"/>
      <c r="G80" s="25"/>
      <c r="H80" s="76"/>
      <c r="I80" s="76"/>
      <c r="J80" s="76"/>
      <c r="K80" s="76"/>
      <c r="L80" s="76"/>
      <c r="M80" s="76"/>
      <c r="N80" s="76"/>
      <c r="O80" s="76"/>
      <c r="P80" s="77">
        <v>0</v>
      </c>
    </row>
    <row r="81" spans="1:17">
      <c r="A81" s="25" t="s">
        <v>4</v>
      </c>
      <c r="B81" s="167" t="s">
        <v>1327</v>
      </c>
      <c r="C81" s="133" t="s">
        <v>1281</v>
      </c>
      <c r="D81" s="25"/>
      <c r="E81" s="25"/>
      <c r="F81" s="25"/>
      <c r="G81" s="25"/>
      <c r="H81" s="76"/>
      <c r="I81" s="76"/>
      <c r="J81" s="76"/>
      <c r="K81" s="76"/>
      <c r="L81" s="76"/>
      <c r="M81" s="76"/>
      <c r="N81" s="76"/>
      <c r="O81" s="76"/>
      <c r="P81" s="77">
        <v>0</v>
      </c>
    </row>
    <row r="82" spans="1:17">
      <c r="A82" s="25" t="s">
        <v>4</v>
      </c>
      <c r="B82" s="167" t="s">
        <v>1522</v>
      </c>
      <c r="C82" s="133" t="s">
        <v>1523</v>
      </c>
      <c r="D82" s="25"/>
      <c r="E82" s="25"/>
      <c r="F82" s="25"/>
      <c r="G82" s="25"/>
      <c r="H82" s="76"/>
      <c r="I82" s="76"/>
      <c r="J82" s="76"/>
      <c r="K82" s="76"/>
      <c r="L82" s="76"/>
      <c r="M82" s="76"/>
      <c r="N82" s="76"/>
      <c r="O82" s="76"/>
      <c r="P82" s="77">
        <v>0</v>
      </c>
    </row>
    <row r="83" spans="1:17" ht="29">
      <c r="A83" s="25" t="s">
        <v>4</v>
      </c>
      <c r="B83" s="167" t="s">
        <v>1323</v>
      </c>
      <c r="C83" s="133" t="s">
        <v>1274</v>
      </c>
      <c r="D83" s="25"/>
      <c r="E83" s="25"/>
      <c r="F83" s="25"/>
      <c r="G83" s="25"/>
      <c r="H83" s="76"/>
      <c r="I83" s="76"/>
      <c r="J83" s="76"/>
      <c r="K83" s="76"/>
      <c r="L83" s="76"/>
      <c r="M83" s="76"/>
      <c r="N83" s="76"/>
      <c r="O83" s="76"/>
      <c r="P83" s="77">
        <v>0</v>
      </c>
    </row>
    <row r="84" spans="1:17" ht="29">
      <c r="A84" s="25" t="s">
        <v>3</v>
      </c>
      <c r="B84" s="74" t="s">
        <v>1486</v>
      </c>
      <c r="C84" s="75" t="s">
        <v>1309</v>
      </c>
      <c r="D84" s="25">
        <v>4</v>
      </c>
      <c r="E84" s="25">
        <v>4</v>
      </c>
      <c r="F84" s="25">
        <v>6</v>
      </c>
      <c r="G84" s="26">
        <v>1</v>
      </c>
      <c r="H84" s="76"/>
      <c r="I84" s="76"/>
      <c r="J84" s="76"/>
      <c r="K84" s="76"/>
      <c r="L84" s="76"/>
      <c r="M84" s="76"/>
      <c r="N84" s="76"/>
      <c r="O84" s="76"/>
      <c r="P84" s="77">
        <v>15</v>
      </c>
      <c r="Q84" s="38" t="s">
        <v>1424</v>
      </c>
    </row>
    <row r="85" spans="1:17" ht="43.5">
      <c r="A85" s="25" t="s">
        <v>3</v>
      </c>
      <c r="B85" s="74" t="s">
        <v>1488</v>
      </c>
      <c r="C85" s="75" t="s">
        <v>1311</v>
      </c>
      <c r="D85" s="25">
        <v>2</v>
      </c>
      <c r="E85" s="25">
        <v>4</v>
      </c>
      <c r="F85" s="25">
        <v>5</v>
      </c>
      <c r="G85" s="26">
        <v>1</v>
      </c>
      <c r="H85" s="76"/>
      <c r="I85" s="76"/>
      <c r="J85" s="76"/>
      <c r="K85" s="76"/>
      <c r="L85" s="76"/>
      <c r="M85" s="76"/>
      <c r="N85" s="76"/>
      <c r="O85" s="76"/>
      <c r="P85" s="77">
        <v>12</v>
      </c>
      <c r="Q85" s="38" t="s">
        <v>1325</v>
      </c>
    </row>
    <row r="86" spans="1:17">
      <c r="A86" s="25" t="s">
        <v>3</v>
      </c>
      <c r="B86" s="74" t="s">
        <v>1368</v>
      </c>
      <c r="C86" s="75" t="s">
        <v>1369</v>
      </c>
      <c r="D86" s="25">
        <v>59</v>
      </c>
      <c r="E86" s="25">
        <v>77</v>
      </c>
      <c r="F86" s="25">
        <v>131</v>
      </c>
      <c r="G86" s="26">
        <v>88</v>
      </c>
      <c r="H86" s="76"/>
      <c r="I86" s="76"/>
      <c r="J86" s="76"/>
      <c r="K86" s="76"/>
      <c r="L86" s="76"/>
      <c r="M86" s="76"/>
      <c r="N86" s="76"/>
      <c r="O86" s="76"/>
      <c r="P86" s="77">
        <v>355</v>
      </c>
      <c r="Q86" s="38" t="s">
        <v>1513</v>
      </c>
    </row>
    <row r="87" spans="1:17">
      <c r="A87" s="25" t="s">
        <v>3</v>
      </c>
      <c r="B87" s="74" t="s">
        <v>1596</v>
      </c>
      <c r="C87" s="75" t="s">
        <v>1281</v>
      </c>
      <c r="D87" s="25">
        <v>21</v>
      </c>
      <c r="E87" s="25">
        <v>21</v>
      </c>
      <c r="F87" s="25">
        <v>33</v>
      </c>
      <c r="G87" s="26">
        <v>26</v>
      </c>
      <c r="H87" s="76"/>
      <c r="I87" s="76"/>
      <c r="J87" s="76"/>
      <c r="K87" s="76"/>
      <c r="L87" s="76"/>
      <c r="M87" s="76"/>
      <c r="N87" s="76"/>
      <c r="O87" s="76"/>
      <c r="P87" s="77">
        <v>101</v>
      </c>
      <c r="Q87" s="38" t="s">
        <v>1327</v>
      </c>
    </row>
    <row r="88" spans="1:17" ht="43.5">
      <c r="A88" s="25" t="s">
        <v>3</v>
      </c>
      <c r="B88" s="74" t="s">
        <v>1487</v>
      </c>
      <c r="C88" s="75" t="s">
        <v>1310</v>
      </c>
      <c r="D88" s="25">
        <v>6</v>
      </c>
      <c r="E88" s="25">
        <v>1</v>
      </c>
      <c r="F88" s="25">
        <v>0</v>
      </c>
      <c r="G88" s="26">
        <v>0</v>
      </c>
      <c r="H88" s="76"/>
      <c r="I88" s="76"/>
      <c r="J88" s="76"/>
      <c r="K88" s="76"/>
      <c r="L88" s="76"/>
      <c r="M88" s="76"/>
      <c r="N88" s="76"/>
      <c r="O88" s="76"/>
      <c r="P88" s="77">
        <v>7</v>
      </c>
      <c r="Q88" s="38" t="s">
        <v>1597</v>
      </c>
    </row>
    <row r="89" spans="1:17" ht="43.5">
      <c r="A89" s="25" t="s">
        <v>3</v>
      </c>
      <c r="B89" s="74" t="s">
        <v>1598</v>
      </c>
      <c r="C89" s="75" t="s">
        <v>1521</v>
      </c>
      <c r="D89" s="25">
        <v>2</v>
      </c>
      <c r="E89" s="25">
        <v>1</v>
      </c>
      <c r="F89" s="25">
        <v>1</v>
      </c>
      <c r="G89" s="26">
        <v>1</v>
      </c>
      <c r="H89" s="76"/>
      <c r="I89" s="76"/>
      <c r="J89" s="76"/>
      <c r="K89" s="76"/>
      <c r="L89" s="76"/>
      <c r="M89" s="76"/>
      <c r="N89" s="76"/>
      <c r="O89" s="76"/>
      <c r="P89" s="77">
        <v>5</v>
      </c>
      <c r="Q89" s="38" t="s">
        <v>1520</v>
      </c>
    </row>
    <row r="90" spans="1:17">
      <c r="A90" s="25" t="s">
        <v>3</v>
      </c>
      <c r="B90" s="74" t="s">
        <v>1599</v>
      </c>
      <c r="C90" s="75" t="s">
        <v>1512</v>
      </c>
      <c r="D90" s="25">
        <v>0</v>
      </c>
      <c r="E90" s="25">
        <v>4</v>
      </c>
      <c r="F90" s="25">
        <v>1</v>
      </c>
      <c r="G90" s="26">
        <v>4</v>
      </c>
      <c r="H90" s="76"/>
      <c r="I90" s="76"/>
      <c r="J90" s="76"/>
      <c r="K90" s="76"/>
      <c r="L90" s="76"/>
      <c r="M90" s="76"/>
      <c r="N90" s="76"/>
      <c r="O90" s="76"/>
      <c r="P90" s="77">
        <v>9</v>
      </c>
      <c r="Q90" s="38" t="s">
        <v>1511</v>
      </c>
    </row>
    <row r="91" spans="1:17" ht="29">
      <c r="A91" s="25" t="s">
        <v>3</v>
      </c>
      <c r="B91" s="25" t="s">
        <v>1600</v>
      </c>
      <c r="C91" s="75" t="s">
        <v>1309</v>
      </c>
      <c r="D91" s="25">
        <v>4</v>
      </c>
      <c r="E91" s="25">
        <v>3</v>
      </c>
      <c r="F91" s="25">
        <v>1</v>
      </c>
      <c r="G91" s="26">
        <v>0</v>
      </c>
      <c r="H91" s="76"/>
      <c r="I91" s="76"/>
      <c r="J91" s="76"/>
      <c r="K91" s="76"/>
      <c r="L91" s="76"/>
      <c r="M91" s="76"/>
      <c r="N91" s="76"/>
      <c r="O91" s="76"/>
      <c r="P91" s="77">
        <v>8</v>
      </c>
      <c r="Q91" s="38" t="s">
        <v>1424</v>
      </c>
    </row>
    <row r="92" spans="1:17" ht="43.5">
      <c r="A92" s="25" t="s">
        <v>3</v>
      </c>
      <c r="B92" s="25" t="s">
        <v>1277</v>
      </c>
      <c r="C92" s="75" t="s">
        <v>1311</v>
      </c>
      <c r="D92" s="25">
        <v>5</v>
      </c>
      <c r="E92" s="25">
        <v>7</v>
      </c>
      <c r="F92" s="25">
        <v>5</v>
      </c>
      <c r="G92" s="26">
        <v>2</v>
      </c>
      <c r="H92" s="76"/>
      <c r="I92" s="76"/>
      <c r="J92" s="76"/>
      <c r="K92" s="76"/>
      <c r="L92" s="76"/>
      <c r="M92" s="76"/>
      <c r="N92" s="76"/>
      <c r="O92" s="76"/>
      <c r="P92" s="77">
        <v>19</v>
      </c>
      <c r="Q92" s="38" t="s">
        <v>1325</v>
      </c>
    </row>
    <row r="93" spans="1:17">
      <c r="A93" s="25" t="s">
        <v>3</v>
      </c>
      <c r="B93" s="25" t="s">
        <v>1371</v>
      </c>
      <c r="C93" s="75" t="s">
        <v>1369</v>
      </c>
      <c r="D93" s="25">
        <v>19</v>
      </c>
      <c r="E93" s="25">
        <v>15</v>
      </c>
      <c r="F93" s="25">
        <v>24</v>
      </c>
      <c r="G93" s="26">
        <v>26</v>
      </c>
      <c r="H93" s="76"/>
      <c r="I93" s="76"/>
      <c r="J93" s="76"/>
      <c r="K93" s="76"/>
      <c r="L93" s="76"/>
      <c r="M93" s="76"/>
      <c r="N93" s="76"/>
      <c r="O93" s="76"/>
      <c r="P93" s="77">
        <v>84</v>
      </c>
      <c r="Q93" s="38" t="s">
        <v>1513</v>
      </c>
    </row>
    <row r="94" spans="1:17" ht="43.5">
      <c r="A94" s="25" t="s">
        <v>3</v>
      </c>
      <c r="B94" s="74" t="s">
        <v>1601</v>
      </c>
      <c r="C94" s="75" t="s">
        <v>1521</v>
      </c>
      <c r="D94" s="25">
        <v>4</v>
      </c>
      <c r="E94" s="25">
        <v>3</v>
      </c>
      <c r="F94" s="25">
        <v>2</v>
      </c>
      <c r="G94" s="26">
        <v>2</v>
      </c>
      <c r="H94" s="76"/>
      <c r="I94" s="76"/>
      <c r="J94" s="76"/>
      <c r="K94" s="76"/>
      <c r="L94" s="76"/>
      <c r="M94" s="76"/>
      <c r="N94" s="76"/>
      <c r="O94" s="76"/>
      <c r="P94" s="77">
        <v>11</v>
      </c>
      <c r="Q94" s="38" t="s">
        <v>1520</v>
      </c>
    </row>
    <row r="95" spans="1:17" ht="29">
      <c r="A95" s="25" t="s">
        <v>3</v>
      </c>
      <c r="B95" s="74" t="s">
        <v>1278</v>
      </c>
      <c r="C95" s="75" t="s">
        <v>1279</v>
      </c>
      <c r="D95" s="25">
        <v>22</v>
      </c>
      <c r="E95" s="25">
        <v>10</v>
      </c>
      <c r="F95" s="25">
        <v>16</v>
      </c>
      <c r="G95" s="26">
        <v>10</v>
      </c>
      <c r="H95" s="76"/>
      <c r="I95" s="76"/>
      <c r="J95" s="76"/>
      <c r="K95" s="76"/>
      <c r="L95" s="76"/>
      <c r="M95" s="76"/>
      <c r="N95" s="76"/>
      <c r="O95" s="76"/>
      <c r="P95" s="77">
        <v>58</v>
      </c>
      <c r="Q95" s="38" t="s">
        <v>1326</v>
      </c>
    </row>
    <row r="96" spans="1:17" ht="29">
      <c r="A96" s="25" t="s">
        <v>3</v>
      </c>
      <c r="B96" s="74" t="s">
        <v>1602</v>
      </c>
      <c r="C96" s="75" t="s">
        <v>1490</v>
      </c>
      <c r="D96" s="25">
        <v>154</v>
      </c>
      <c r="E96" s="25">
        <v>142</v>
      </c>
      <c r="F96" s="25">
        <v>152</v>
      </c>
      <c r="G96" s="26">
        <v>162</v>
      </c>
      <c r="H96" s="76"/>
      <c r="I96" s="76"/>
      <c r="J96" s="76"/>
      <c r="K96" s="76"/>
      <c r="L96" s="76"/>
      <c r="M96" s="76"/>
      <c r="N96" s="76"/>
      <c r="O96" s="76"/>
      <c r="P96" s="77">
        <v>610</v>
      </c>
      <c r="Q96" s="38" t="s">
        <v>1489</v>
      </c>
    </row>
    <row r="97" spans="1:17" ht="29">
      <c r="A97" s="25" t="s">
        <v>3</v>
      </c>
      <c r="B97" s="74" t="s">
        <v>1603</v>
      </c>
      <c r="C97" s="75" t="s">
        <v>1273</v>
      </c>
      <c r="D97" s="25">
        <v>30</v>
      </c>
      <c r="E97" s="25">
        <v>44</v>
      </c>
      <c r="F97" s="25">
        <v>35</v>
      </c>
      <c r="G97" s="26">
        <v>35</v>
      </c>
      <c r="H97" s="76"/>
      <c r="I97" s="76"/>
      <c r="J97" s="76"/>
      <c r="K97" s="76"/>
      <c r="L97" s="76"/>
      <c r="M97" s="76"/>
      <c r="N97" s="76"/>
      <c r="O97" s="76"/>
      <c r="P97" s="77">
        <v>144</v>
      </c>
      <c r="Q97" s="38" t="s">
        <v>1322</v>
      </c>
    </row>
    <row r="98" spans="1:17" ht="43.5">
      <c r="A98" s="25" t="s">
        <v>3</v>
      </c>
      <c r="B98" s="74" t="s">
        <v>1604</v>
      </c>
      <c r="C98" s="75" t="s">
        <v>1311</v>
      </c>
      <c r="D98" s="25">
        <v>3</v>
      </c>
      <c r="E98" s="25">
        <v>3</v>
      </c>
      <c r="F98" s="25">
        <v>0</v>
      </c>
      <c r="G98" s="26">
        <v>1</v>
      </c>
      <c r="H98" s="76"/>
      <c r="I98" s="76"/>
      <c r="J98" s="76"/>
      <c r="K98" s="76"/>
      <c r="L98" s="76"/>
      <c r="M98" s="76"/>
      <c r="N98" s="76"/>
      <c r="O98" s="76"/>
      <c r="P98" s="77">
        <v>7</v>
      </c>
      <c r="Q98" s="38" t="s">
        <v>1325</v>
      </c>
    </row>
    <row r="99" spans="1:17">
      <c r="A99" s="25" t="s">
        <v>3</v>
      </c>
      <c r="B99" s="74" t="s">
        <v>1605</v>
      </c>
      <c r="C99" s="75" t="s">
        <v>1369</v>
      </c>
      <c r="D99" s="25">
        <v>4</v>
      </c>
      <c r="E99" s="25">
        <v>2</v>
      </c>
      <c r="F99" s="25">
        <v>3</v>
      </c>
      <c r="G99" s="26">
        <v>5</v>
      </c>
      <c r="H99" s="76"/>
      <c r="I99" s="76"/>
      <c r="J99" s="76"/>
      <c r="K99" s="76"/>
      <c r="L99" s="76"/>
      <c r="M99" s="76"/>
      <c r="N99" s="76"/>
      <c r="O99" s="76"/>
      <c r="P99" s="77">
        <v>14</v>
      </c>
      <c r="Q99" s="38" t="s">
        <v>1513</v>
      </c>
    </row>
    <row r="100" spans="1:17">
      <c r="A100" s="25" t="s">
        <v>3</v>
      </c>
      <c r="B100" s="74" t="s">
        <v>1389</v>
      </c>
      <c r="C100" s="75" t="s">
        <v>1387</v>
      </c>
      <c r="D100" s="25">
        <v>0</v>
      </c>
      <c r="E100" s="25">
        <v>0</v>
      </c>
      <c r="F100" s="25">
        <v>3</v>
      </c>
      <c r="G100" s="26">
        <v>6</v>
      </c>
      <c r="H100" s="76"/>
      <c r="I100" s="76"/>
      <c r="J100" s="76"/>
      <c r="K100" s="76"/>
      <c r="L100" s="76"/>
      <c r="M100" s="76"/>
      <c r="N100" s="76"/>
      <c r="O100" s="76"/>
      <c r="P100" s="77">
        <v>9</v>
      </c>
      <c r="Q100" s="38" t="s">
        <v>1606</v>
      </c>
    </row>
    <row r="101" spans="1:17">
      <c r="A101" s="25" t="s">
        <v>3</v>
      </c>
      <c r="B101" s="74" t="s">
        <v>1607</v>
      </c>
      <c r="C101" s="75" t="s">
        <v>1396</v>
      </c>
      <c r="D101" s="25">
        <v>8</v>
      </c>
      <c r="E101" s="25">
        <v>13</v>
      </c>
      <c r="F101" s="25">
        <v>31</v>
      </c>
      <c r="G101" s="26">
        <v>0</v>
      </c>
      <c r="H101" s="76"/>
      <c r="I101" s="76"/>
      <c r="J101" s="76"/>
      <c r="K101" s="76"/>
      <c r="L101" s="76"/>
      <c r="M101" s="76"/>
      <c r="N101" s="76"/>
      <c r="O101" s="76"/>
      <c r="P101" s="77">
        <v>52</v>
      </c>
      <c r="Q101" s="38" t="s">
        <v>1395</v>
      </c>
    </row>
    <row r="102" spans="1:17">
      <c r="A102" s="25" t="s">
        <v>3</v>
      </c>
      <c r="B102" s="74" t="s">
        <v>1608</v>
      </c>
      <c r="C102" s="75" t="s">
        <v>1281</v>
      </c>
      <c r="D102" s="25">
        <v>1</v>
      </c>
      <c r="E102" s="25">
        <v>1</v>
      </c>
      <c r="F102" s="25">
        <v>0</v>
      </c>
      <c r="G102" s="26">
        <v>0</v>
      </c>
      <c r="H102" s="76"/>
      <c r="I102" s="76"/>
      <c r="J102" s="76"/>
      <c r="K102" s="76"/>
      <c r="L102" s="76"/>
      <c r="M102" s="76"/>
      <c r="N102" s="76"/>
      <c r="O102" s="76"/>
      <c r="P102" s="77">
        <v>2</v>
      </c>
      <c r="Q102" s="38" t="s">
        <v>1327</v>
      </c>
    </row>
    <row r="103" spans="1:17" ht="43.5">
      <c r="A103" s="25" t="s">
        <v>3</v>
      </c>
      <c r="B103" s="74" t="s">
        <v>1609</v>
      </c>
      <c r="C103" s="75" t="s">
        <v>1521</v>
      </c>
      <c r="D103" s="25">
        <v>7</v>
      </c>
      <c r="E103" s="25">
        <v>23</v>
      </c>
      <c r="F103" s="25">
        <v>40</v>
      </c>
      <c r="G103" s="26">
        <v>3</v>
      </c>
      <c r="H103" s="76"/>
      <c r="I103" s="76"/>
      <c r="J103" s="76"/>
      <c r="K103" s="76"/>
      <c r="L103" s="76"/>
      <c r="M103" s="76"/>
      <c r="N103" s="76"/>
      <c r="O103" s="76"/>
      <c r="P103" s="77">
        <v>73</v>
      </c>
      <c r="Q103" s="38" t="s">
        <v>1520</v>
      </c>
    </row>
    <row r="104" spans="1:17" ht="29">
      <c r="A104" s="25" t="s">
        <v>3</v>
      </c>
      <c r="B104" s="74" t="s">
        <v>1610</v>
      </c>
      <c r="C104" s="75" t="s">
        <v>1309</v>
      </c>
      <c r="D104" s="25">
        <v>36</v>
      </c>
      <c r="E104" s="25">
        <v>29</v>
      </c>
      <c r="F104" s="25">
        <v>27</v>
      </c>
      <c r="G104" s="26">
        <v>26</v>
      </c>
      <c r="H104" s="76"/>
      <c r="I104" s="76"/>
      <c r="J104" s="76"/>
      <c r="K104" s="76"/>
      <c r="L104" s="76"/>
      <c r="M104" s="76"/>
      <c r="N104" s="76"/>
      <c r="O104" s="76"/>
      <c r="P104" s="77">
        <v>118</v>
      </c>
      <c r="Q104" s="38" t="s">
        <v>1424</v>
      </c>
    </row>
    <row r="105" spans="1:17" ht="43.5">
      <c r="A105" s="25" t="s">
        <v>3</v>
      </c>
      <c r="B105" s="74" t="s">
        <v>1282</v>
      </c>
      <c r="C105" s="75" t="s">
        <v>1311</v>
      </c>
      <c r="D105" s="25">
        <v>6</v>
      </c>
      <c r="E105" s="25">
        <v>5</v>
      </c>
      <c r="F105" s="25">
        <v>6</v>
      </c>
      <c r="G105" s="26">
        <v>5</v>
      </c>
      <c r="H105" s="76"/>
      <c r="I105" s="76"/>
      <c r="J105" s="76"/>
      <c r="K105" s="76"/>
      <c r="L105" s="76"/>
      <c r="M105" s="76"/>
      <c r="N105" s="76"/>
      <c r="O105" s="76"/>
      <c r="P105" s="77">
        <v>22</v>
      </c>
      <c r="Q105" s="38" t="s">
        <v>1325</v>
      </c>
    </row>
    <row r="106" spans="1:17">
      <c r="A106" s="25" t="s">
        <v>3</v>
      </c>
      <c r="B106" s="74" t="s">
        <v>1370</v>
      </c>
      <c r="C106" s="75" t="s">
        <v>1369</v>
      </c>
      <c r="D106" s="25">
        <v>32</v>
      </c>
      <c r="E106" s="25">
        <v>28</v>
      </c>
      <c r="F106" s="25">
        <v>23</v>
      </c>
      <c r="G106" s="26">
        <v>26</v>
      </c>
      <c r="H106" s="76"/>
      <c r="I106" s="76"/>
      <c r="J106" s="76"/>
      <c r="K106" s="76"/>
      <c r="L106" s="76"/>
      <c r="M106" s="76"/>
      <c r="N106" s="76"/>
      <c r="O106" s="76"/>
      <c r="P106" s="77">
        <v>109</v>
      </c>
      <c r="Q106" s="38" t="s">
        <v>1513</v>
      </c>
    </row>
    <row r="107" spans="1:17">
      <c r="A107" s="25" t="s">
        <v>3</v>
      </c>
      <c r="B107" s="74" t="s">
        <v>1611</v>
      </c>
      <c r="C107" s="75" t="s">
        <v>1383</v>
      </c>
      <c r="D107" s="25">
        <v>2</v>
      </c>
      <c r="E107" s="25">
        <v>0</v>
      </c>
      <c r="F107" s="25">
        <v>1</v>
      </c>
      <c r="G107" s="26">
        <v>6</v>
      </c>
      <c r="H107" s="76"/>
      <c r="I107" s="76"/>
      <c r="J107" s="76"/>
      <c r="K107" s="76"/>
      <c r="L107" s="76"/>
      <c r="M107" s="76"/>
      <c r="N107" s="76"/>
      <c r="O107" s="76"/>
      <c r="P107" s="77">
        <v>9</v>
      </c>
      <c r="Q107" s="38" t="s">
        <v>1382</v>
      </c>
    </row>
    <row r="108" spans="1:17">
      <c r="A108" s="25" t="s">
        <v>3</v>
      </c>
      <c r="B108" s="74" t="s">
        <v>1390</v>
      </c>
      <c r="C108" s="75" t="s">
        <v>1387</v>
      </c>
      <c r="D108" s="25">
        <v>0</v>
      </c>
      <c r="E108" s="25">
        <v>1</v>
      </c>
      <c r="F108" s="25">
        <v>0</v>
      </c>
      <c r="G108" s="26">
        <v>1</v>
      </c>
      <c r="H108" s="76"/>
      <c r="I108" s="76"/>
      <c r="J108" s="76"/>
      <c r="K108" s="76"/>
      <c r="L108" s="76"/>
      <c r="M108" s="76"/>
      <c r="N108" s="76"/>
      <c r="O108" s="76"/>
      <c r="P108" s="77">
        <v>2</v>
      </c>
      <c r="Q108" s="38" t="s">
        <v>1606</v>
      </c>
    </row>
    <row r="109" spans="1:17">
      <c r="A109" s="25" t="s">
        <v>3</v>
      </c>
      <c r="B109" s="74" t="s">
        <v>1612</v>
      </c>
      <c r="C109" s="75" t="s">
        <v>1281</v>
      </c>
      <c r="D109" s="25">
        <v>37</v>
      </c>
      <c r="E109" s="25">
        <v>15</v>
      </c>
      <c r="F109" s="25">
        <v>13</v>
      </c>
      <c r="G109" s="26">
        <v>15</v>
      </c>
      <c r="H109" s="76"/>
      <c r="I109" s="76"/>
      <c r="J109" s="76"/>
      <c r="K109" s="76"/>
      <c r="L109" s="76"/>
      <c r="M109" s="76"/>
      <c r="N109" s="76"/>
      <c r="O109" s="76"/>
      <c r="P109" s="77">
        <v>80</v>
      </c>
      <c r="Q109" s="38" t="s">
        <v>1327</v>
      </c>
    </row>
    <row r="110" spans="1:17" ht="43.5">
      <c r="A110" s="25" t="s">
        <v>3</v>
      </c>
      <c r="B110" s="74" t="s">
        <v>1276</v>
      </c>
      <c r="C110" s="75" t="s">
        <v>1310</v>
      </c>
      <c r="D110" s="25">
        <v>46</v>
      </c>
      <c r="E110" s="25">
        <v>34</v>
      </c>
      <c r="F110" s="25">
        <v>61</v>
      </c>
      <c r="G110" s="26">
        <v>41</v>
      </c>
      <c r="H110" s="76"/>
      <c r="I110" s="76"/>
      <c r="J110" s="76"/>
      <c r="K110" s="76"/>
      <c r="L110" s="76"/>
      <c r="M110" s="76"/>
      <c r="N110" s="76"/>
      <c r="O110" s="76"/>
      <c r="P110" s="77">
        <v>182</v>
      </c>
      <c r="Q110" s="38" t="s">
        <v>1597</v>
      </c>
    </row>
    <row r="111" spans="1:17" ht="29">
      <c r="A111" s="25" t="s">
        <v>3</v>
      </c>
      <c r="B111" s="74" t="s">
        <v>1613</v>
      </c>
      <c r="C111" s="75" t="s">
        <v>1515</v>
      </c>
      <c r="D111" s="25">
        <v>10</v>
      </c>
      <c r="E111" s="25">
        <v>7</v>
      </c>
      <c r="F111" s="25">
        <v>8</v>
      </c>
      <c r="G111" s="26">
        <v>8</v>
      </c>
      <c r="H111" s="76"/>
      <c r="I111" s="76"/>
      <c r="J111" s="76"/>
      <c r="K111" s="76"/>
      <c r="L111" s="76"/>
      <c r="M111" s="76"/>
      <c r="N111" s="76"/>
      <c r="O111" s="76"/>
      <c r="P111" s="77">
        <v>33</v>
      </c>
      <c r="Q111" s="38" t="s">
        <v>1514</v>
      </c>
    </row>
    <row r="112" spans="1:17" ht="43.5">
      <c r="A112" s="25" t="s">
        <v>3</v>
      </c>
      <c r="B112" s="74" t="s">
        <v>1614</v>
      </c>
      <c r="C112" s="75" t="s">
        <v>1521</v>
      </c>
      <c r="D112" s="25">
        <v>7</v>
      </c>
      <c r="E112" s="25">
        <v>6</v>
      </c>
      <c r="F112" s="25">
        <v>4</v>
      </c>
      <c r="G112" s="26">
        <v>7</v>
      </c>
      <c r="H112" s="76"/>
      <c r="I112" s="76"/>
      <c r="J112" s="76"/>
      <c r="K112" s="76"/>
      <c r="L112" s="76"/>
      <c r="M112" s="76"/>
      <c r="N112" s="76"/>
      <c r="O112" s="76"/>
      <c r="P112" s="77">
        <v>24</v>
      </c>
      <c r="Q112" s="38" t="s">
        <v>1520</v>
      </c>
    </row>
    <row r="113" spans="1:17">
      <c r="A113" s="25" t="s">
        <v>3</v>
      </c>
      <c r="B113" s="74" t="s">
        <v>1615</v>
      </c>
      <c r="C113" s="75" t="s">
        <v>1512</v>
      </c>
      <c r="D113" s="25">
        <v>1</v>
      </c>
      <c r="E113" s="25">
        <v>1</v>
      </c>
      <c r="F113" s="25">
        <v>1</v>
      </c>
      <c r="G113" s="26">
        <v>0</v>
      </c>
      <c r="H113" s="76"/>
      <c r="I113" s="76"/>
      <c r="J113" s="76"/>
      <c r="K113" s="76"/>
      <c r="L113" s="76"/>
      <c r="M113" s="76"/>
      <c r="N113" s="76"/>
      <c r="O113" s="76"/>
      <c r="P113" s="77">
        <v>3</v>
      </c>
      <c r="Q113" s="38" t="s">
        <v>1511</v>
      </c>
    </row>
    <row r="114" spans="1:17" ht="29">
      <c r="A114" s="25" t="s">
        <v>3</v>
      </c>
      <c r="B114" s="74" t="s">
        <v>1275</v>
      </c>
      <c r="C114" s="75" t="s">
        <v>1309</v>
      </c>
      <c r="D114" s="25">
        <v>12</v>
      </c>
      <c r="E114" s="25">
        <v>13</v>
      </c>
      <c r="F114" s="25">
        <v>3</v>
      </c>
      <c r="G114" s="26">
        <v>5</v>
      </c>
      <c r="H114" s="76"/>
      <c r="I114" s="76"/>
      <c r="J114" s="76"/>
      <c r="K114" s="76"/>
      <c r="L114" s="76"/>
      <c r="M114" s="76"/>
      <c r="N114" s="76"/>
      <c r="O114" s="76"/>
      <c r="P114" s="77">
        <v>33</v>
      </c>
      <c r="Q114" s="38" t="s">
        <v>1424</v>
      </c>
    </row>
    <row r="115" spans="1:17" ht="43.5">
      <c r="A115" s="25" t="s">
        <v>3</v>
      </c>
      <c r="B115" s="74" t="s">
        <v>1283</v>
      </c>
      <c r="C115" s="75" t="s">
        <v>1311</v>
      </c>
      <c r="D115" s="25">
        <v>1</v>
      </c>
      <c r="E115" s="25">
        <v>0</v>
      </c>
      <c r="F115" s="25">
        <v>1</v>
      </c>
      <c r="G115" s="26">
        <v>1</v>
      </c>
      <c r="H115" s="76"/>
      <c r="I115" s="76"/>
      <c r="J115" s="76"/>
      <c r="K115" s="76"/>
      <c r="L115" s="76"/>
      <c r="M115" s="76"/>
      <c r="N115" s="76"/>
      <c r="O115" s="76"/>
      <c r="P115" s="77">
        <v>3</v>
      </c>
      <c r="Q115" s="38" t="s">
        <v>1325</v>
      </c>
    </row>
    <row r="116" spans="1:17">
      <c r="A116" s="25" t="s">
        <v>3</v>
      </c>
      <c r="B116" s="74" t="s">
        <v>1372</v>
      </c>
      <c r="C116" s="75" t="s">
        <v>1369</v>
      </c>
      <c r="D116" s="25">
        <v>5</v>
      </c>
      <c r="E116" s="25">
        <v>2</v>
      </c>
      <c r="F116" s="25">
        <v>5</v>
      </c>
      <c r="G116" s="26">
        <v>7</v>
      </c>
      <c r="H116" s="76"/>
      <c r="I116" s="76"/>
      <c r="J116" s="76"/>
      <c r="K116" s="76"/>
      <c r="L116" s="76"/>
      <c r="M116" s="76"/>
      <c r="N116" s="76"/>
      <c r="O116" s="76"/>
      <c r="P116" s="77">
        <v>19</v>
      </c>
      <c r="Q116" s="38" t="s">
        <v>1513</v>
      </c>
    </row>
    <row r="117" spans="1:17" ht="43.5">
      <c r="A117" s="25" t="s">
        <v>3</v>
      </c>
      <c r="B117" s="74" t="s">
        <v>1616</v>
      </c>
      <c r="C117" s="75" t="s">
        <v>1521</v>
      </c>
      <c r="D117" s="25">
        <v>1</v>
      </c>
      <c r="E117" s="25">
        <v>0</v>
      </c>
      <c r="F117" s="25">
        <v>1</v>
      </c>
      <c r="G117" s="26">
        <v>4</v>
      </c>
      <c r="H117" s="76"/>
      <c r="I117" s="76"/>
      <c r="J117" s="76"/>
      <c r="K117" s="76"/>
      <c r="L117" s="76"/>
      <c r="M117" s="76"/>
      <c r="N117" s="76"/>
      <c r="O117" s="76"/>
      <c r="P117" s="77">
        <v>6</v>
      </c>
      <c r="Q117" s="38" t="s">
        <v>1520</v>
      </c>
    </row>
    <row r="118" spans="1:17">
      <c r="A118" s="25" t="s">
        <v>3</v>
      </c>
      <c r="B118" s="74" t="s">
        <v>1617</v>
      </c>
      <c r="C118" s="75" t="s">
        <v>1512</v>
      </c>
      <c r="D118" s="25">
        <v>1</v>
      </c>
      <c r="E118" s="25">
        <v>0</v>
      </c>
      <c r="F118" s="25">
        <v>2</v>
      </c>
      <c r="G118" s="26">
        <v>0</v>
      </c>
      <c r="H118" s="76"/>
      <c r="I118" s="76"/>
      <c r="J118" s="76"/>
      <c r="K118" s="76"/>
      <c r="L118" s="76"/>
      <c r="M118" s="76"/>
      <c r="N118" s="76"/>
      <c r="O118" s="76"/>
      <c r="P118" s="77">
        <v>3</v>
      </c>
      <c r="Q118" s="38" t="s">
        <v>1511</v>
      </c>
    </row>
    <row r="119" spans="1:17" ht="29">
      <c r="A119" s="25" t="s">
        <v>3</v>
      </c>
      <c r="B119" s="74" t="s">
        <v>1618</v>
      </c>
      <c r="C119" s="75" t="s">
        <v>1309</v>
      </c>
      <c r="D119" s="25">
        <v>163</v>
      </c>
      <c r="E119" s="25">
        <v>218</v>
      </c>
      <c r="F119" s="25">
        <v>281</v>
      </c>
      <c r="G119" s="26">
        <v>285</v>
      </c>
      <c r="H119" s="76"/>
      <c r="I119" s="76"/>
      <c r="J119" s="76"/>
      <c r="K119" s="76"/>
      <c r="L119" s="76"/>
      <c r="M119" s="76"/>
      <c r="N119" s="76"/>
      <c r="O119" s="76"/>
      <c r="P119" s="77">
        <v>947</v>
      </c>
      <c r="Q119" s="38" t="s">
        <v>1424</v>
      </c>
    </row>
    <row r="120" spans="1:17" ht="43.5">
      <c r="A120" s="25" t="s">
        <v>3</v>
      </c>
      <c r="B120" s="74" t="s">
        <v>1619</v>
      </c>
      <c r="C120" s="75" t="s">
        <v>1311</v>
      </c>
      <c r="D120" s="25">
        <v>18</v>
      </c>
      <c r="E120" s="25">
        <v>16</v>
      </c>
      <c r="F120" s="25">
        <v>34</v>
      </c>
      <c r="G120" s="26">
        <v>64</v>
      </c>
      <c r="H120" s="76"/>
      <c r="I120" s="76"/>
      <c r="J120" s="76"/>
      <c r="K120" s="76"/>
      <c r="L120" s="76"/>
      <c r="M120" s="76"/>
      <c r="N120" s="76"/>
      <c r="O120" s="76"/>
      <c r="P120" s="77">
        <v>132</v>
      </c>
      <c r="Q120" s="38" t="s">
        <v>1325</v>
      </c>
    </row>
    <row r="121" spans="1:17">
      <c r="A121" s="25" t="s">
        <v>3</v>
      </c>
      <c r="B121" s="74" t="s">
        <v>1620</v>
      </c>
      <c r="C121" s="75" t="s">
        <v>1369</v>
      </c>
      <c r="D121" s="25">
        <v>10</v>
      </c>
      <c r="E121" s="25">
        <v>11</v>
      </c>
      <c r="F121" s="25">
        <v>7</v>
      </c>
      <c r="G121" s="26">
        <v>2</v>
      </c>
      <c r="H121" s="76"/>
      <c r="I121" s="76"/>
      <c r="J121" s="76"/>
      <c r="K121" s="76"/>
      <c r="L121" s="76"/>
      <c r="M121" s="76"/>
      <c r="N121" s="76"/>
      <c r="O121" s="76"/>
      <c r="P121" s="77">
        <v>30</v>
      </c>
      <c r="Q121" s="38" t="s">
        <v>1513</v>
      </c>
    </row>
    <row r="122" spans="1:17">
      <c r="A122" s="25" t="s">
        <v>3</v>
      </c>
      <c r="B122" s="74" t="s">
        <v>1621</v>
      </c>
      <c r="C122" s="75" t="s">
        <v>1383</v>
      </c>
      <c r="D122" s="25">
        <v>111</v>
      </c>
      <c r="E122" s="25">
        <v>145</v>
      </c>
      <c r="F122" s="25">
        <v>191</v>
      </c>
      <c r="G122" s="26">
        <v>170</v>
      </c>
      <c r="H122" s="76"/>
      <c r="I122" s="76"/>
      <c r="J122" s="76"/>
      <c r="K122" s="76"/>
      <c r="L122" s="76"/>
      <c r="M122" s="76"/>
      <c r="N122" s="76"/>
      <c r="O122" s="76"/>
      <c r="P122" s="77">
        <v>617</v>
      </c>
      <c r="Q122" s="38" t="s">
        <v>1382</v>
      </c>
    </row>
    <row r="123" spans="1:17">
      <c r="A123" s="25" t="s">
        <v>3</v>
      </c>
      <c r="B123" s="74" t="s">
        <v>1388</v>
      </c>
      <c r="C123" s="75" t="s">
        <v>1387</v>
      </c>
      <c r="D123" s="25">
        <v>0</v>
      </c>
      <c r="E123" s="25">
        <v>0</v>
      </c>
      <c r="F123" s="25">
        <v>0</v>
      </c>
      <c r="G123" s="26">
        <v>2</v>
      </c>
      <c r="H123" s="76"/>
      <c r="I123" s="76"/>
      <c r="J123" s="76"/>
      <c r="K123" s="76"/>
      <c r="L123" s="76"/>
      <c r="M123" s="76"/>
      <c r="N123" s="76"/>
      <c r="O123" s="76"/>
      <c r="P123" s="77">
        <v>2</v>
      </c>
      <c r="Q123" s="38" t="s">
        <v>1606</v>
      </c>
    </row>
    <row r="124" spans="1:17">
      <c r="A124" s="25" t="s">
        <v>3</v>
      </c>
      <c r="B124" s="74" t="s">
        <v>1280</v>
      </c>
      <c r="C124" s="75" t="s">
        <v>1281</v>
      </c>
      <c r="D124" s="25">
        <v>2</v>
      </c>
      <c r="E124" s="25">
        <v>1</v>
      </c>
      <c r="F124" s="25">
        <v>1</v>
      </c>
      <c r="G124" s="26">
        <v>1</v>
      </c>
      <c r="H124" s="76"/>
      <c r="I124" s="76"/>
      <c r="J124" s="76"/>
      <c r="K124" s="76"/>
      <c r="L124" s="76"/>
      <c r="M124" s="76"/>
      <c r="N124" s="76"/>
      <c r="O124" s="76"/>
      <c r="P124" s="77">
        <v>5</v>
      </c>
      <c r="Q124" s="38" t="s">
        <v>1327</v>
      </c>
    </row>
    <row r="125" spans="1:17" ht="43.5">
      <c r="A125" s="25" t="s">
        <v>3</v>
      </c>
      <c r="B125" s="74" t="s">
        <v>1622</v>
      </c>
      <c r="C125" s="75" t="s">
        <v>1521</v>
      </c>
      <c r="D125" s="25">
        <v>125</v>
      </c>
      <c r="E125" s="25">
        <v>116</v>
      </c>
      <c r="F125" s="25">
        <v>116</v>
      </c>
      <c r="G125" s="26">
        <v>129</v>
      </c>
      <c r="H125" s="76"/>
      <c r="I125" s="76"/>
      <c r="J125" s="76"/>
      <c r="K125" s="76"/>
      <c r="L125" s="76"/>
      <c r="M125" s="76"/>
      <c r="N125" s="76"/>
      <c r="O125" s="76"/>
      <c r="P125" s="77">
        <v>486</v>
      </c>
      <c r="Q125" s="38" t="s">
        <v>1520</v>
      </c>
    </row>
    <row r="126" spans="1:17" ht="29">
      <c r="A126" s="25" t="s">
        <v>3</v>
      </c>
      <c r="B126" s="74" t="s">
        <v>1623</v>
      </c>
      <c r="C126" s="75" t="s">
        <v>1505</v>
      </c>
      <c r="D126" s="25">
        <v>23</v>
      </c>
      <c r="E126" s="25">
        <v>16</v>
      </c>
      <c r="F126" s="25">
        <v>22</v>
      </c>
      <c r="G126" s="26">
        <v>29</v>
      </c>
      <c r="H126" s="76"/>
      <c r="I126" s="76"/>
      <c r="J126" s="76"/>
      <c r="K126" s="76"/>
      <c r="L126" s="76"/>
      <c r="M126" s="76"/>
      <c r="N126" s="76"/>
      <c r="O126" s="76"/>
      <c r="P126" s="77">
        <v>90</v>
      </c>
      <c r="Q126" s="38" t="s">
        <v>1504</v>
      </c>
    </row>
    <row r="127" spans="1:17">
      <c r="A127" s="25" t="s">
        <v>3</v>
      </c>
      <c r="B127" s="74" t="s">
        <v>1624</v>
      </c>
      <c r="C127" s="75" t="s">
        <v>1494</v>
      </c>
      <c r="D127" s="25">
        <v>120</v>
      </c>
      <c r="E127" s="25">
        <v>119</v>
      </c>
      <c r="F127" s="25">
        <v>153</v>
      </c>
      <c r="G127" s="26">
        <v>115</v>
      </c>
      <c r="H127" s="76"/>
      <c r="I127" s="76"/>
      <c r="J127" s="76"/>
      <c r="K127" s="76"/>
      <c r="L127" s="76"/>
      <c r="M127" s="76"/>
      <c r="N127" s="76"/>
      <c r="O127" s="76"/>
      <c r="P127" s="77">
        <v>507</v>
      </c>
      <c r="Q127" s="38" t="s">
        <v>1493</v>
      </c>
    </row>
    <row r="128" spans="1:17" ht="43.5">
      <c r="A128" s="25" t="s">
        <v>3</v>
      </c>
      <c r="B128" s="74" t="s">
        <v>1625</v>
      </c>
      <c r="C128" s="75" t="s">
        <v>1430</v>
      </c>
      <c r="D128" s="25">
        <v>48</v>
      </c>
      <c r="E128" s="25">
        <v>39</v>
      </c>
      <c r="F128" s="25">
        <v>50</v>
      </c>
      <c r="G128" s="26">
        <v>61</v>
      </c>
      <c r="H128" s="76"/>
      <c r="I128" s="76"/>
      <c r="J128" s="76"/>
      <c r="K128" s="76"/>
      <c r="L128" s="76"/>
      <c r="M128" s="76"/>
      <c r="N128" s="76"/>
      <c r="O128" s="76"/>
      <c r="P128" s="77">
        <v>198</v>
      </c>
      <c r="Q128" s="38" t="s">
        <v>1429</v>
      </c>
    </row>
    <row r="129" spans="1:17" ht="43.5">
      <c r="A129" s="25" t="s">
        <v>3</v>
      </c>
      <c r="B129" s="74" t="s">
        <v>1626</v>
      </c>
      <c r="C129" s="75" t="s">
        <v>1376</v>
      </c>
      <c r="D129" s="25">
        <v>186</v>
      </c>
      <c r="E129" s="25">
        <v>133</v>
      </c>
      <c r="F129" s="25">
        <v>155</v>
      </c>
      <c r="G129" s="26">
        <v>182</v>
      </c>
      <c r="H129" s="76"/>
      <c r="I129" s="76"/>
      <c r="J129" s="76"/>
      <c r="K129" s="76"/>
      <c r="L129" s="76"/>
      <c r="M129" s="76"/>
      <c r="N129" s="76"/>
      <c r="O129" s="76"/>
      <c r="P129" s="77">
        <v>656</v>
      </c>
      <c r="Q129" s="38" t="s">
        <v>1375</v>
      </c>
    </row>
    <row r="130" spans="1:17">
      <c r="A130" s="25" t="s">
        <v>3</v>
      </c>
      <c r="B130" s="74" t="s">
        <v>1627</v>
      </c>
      <c r="C130" s="75" t="s">
        <v>1506</v>
      </c>
      <c r="D130" s="25">
        <v>14</v>
      </c>
      <c r="E130" s="25">
        <v>15</v>
      </c>
      <c r="F130" s="25">
        <v>13</v>
      </c>
      <c r="G130" s="26">
        <v>13</v>
      </c>
      <c r="H130" s="76"/>
      <c r="I130" s="76"/>
      <c r="J130" s="76"/>
      <c r="K130" s="76"/>
      <c r="L130" s="76"/>
      <c r="M130" s="76"/>
      <c r="N130" s="76"/>
      <c r="O130" s="76"/>
      <c r="P130" s="77">
        <v>55</v>
      </c>
      <c r="Q130" s="38" t="s">
        <v>1377</v>
      </c>
    </row>
    <row r="131" spans="1:17" ht="29">
      <c r="A131" s="25" t="s">
        <v>3</v>
      </c>
      <c r="B131" s="74" t="s">
        <v>1628</v>
      </c>
      <c r="C131" s="75" t="s">
        <v>1309</v>
      </c>
      <c r="D131" s="25">
        <v>170</v>
      </c>
      <c r="E131" s="25">
        <v>148</v>
      </c>
      <c r="F131" s="25">
        <v>163</v>
      </c>
      <c r="G131" s="26">
        <v>187</v>
      </c>
      <c r="H131" s="76"/>
      <c r="I131" s="76"/>
      <c r="J131" s="76"/>
      <c r="K131" s="76"/>
      <c r="L131" s="76"/>
      <c r="M131" s="76"/>
      <c r="N131" s="76"/>
      <c r="O131" s="76"/>
      <c r="P131" s="77">
        <v>668</v>
      </c>
      <c r="Q131" s="38" t="s">
        <v>1424</v>
      </c>
    </row>
    <row r="132" spans="1:17" ht="43.5">
      <c r="A132" s="25" t="s">
        <v>3</v>
      </c>
      <c r="B132" s="74" t="s">
        <v>1629</v>
      </c>
      <c r="C132" s="75" t="s">
        <v>1311</v>
      </c>
      <c r="D132" s="25">
        <v>48</v>
      </c>
      <c r="E132" s="25">
        <v>57</v>
      </c>
      <c r="F132" s="25">
        <v>63</v>
      </c>
      <c r="G132" s="26">
        <v>85</v>
      </c>
      <c r="H132" s="76"/>
      <c r="I132" s="76"/>
      <c r="J132" s="76"/>
      <c r="K132" s="76"/>
      <c r="L132" s="76"/>
      <c r="M132" s="76"/>
      <c r="N132" s="76"/>
      <c r="O132" s="76"/>
      <c r="P132" s="77">
        <v>253</v>
      </c>
      <c r="Q132" s="38" t="s">
        <v>1325</v>
      </c>
    </row>
    <row r="133" spans="1:17">
      <c r="A133" s="25" t="s">
        <v>3</v>
      </c>
      <c r="B133" s="74" t="s">
        <v>1630</v>
      </c>
      <c r="C133" s="75" t="s">
        <v>1369</v>
      </c>
      <c r="D133" s="25">
        <v>9</v>
      </c>
      <c r="E133" s="25">
        <v>5</v>
      </c>
      <c r="F133" s="25">
        <v>5</v>
      </c>
      <c r="G133" s="26">
        <v>6</v>
      </c>
      <c r="H133" s="76"/>
      <c r="I133" s="76"/>
      <c r="J133" s="76"/>
      <c r="K133" s="76"/>
      <c r="L133" s="76"/>
      <c r="M133" s="76"/>
      <c r="N133" s="76"/>
      <c r="O133" s="76"/>
      <c r="P133" s="77">
        <v>25</v>
      </c>
      <c r="Q133" s="38" t="s">
        <v>1513</v>
      </c>
    </row>
    <row r="134" spans="1:17">
      <c r="A134" s="25" t="s">
        <v>3</v>
      </c>
      <c r="B134" s="74" t="s">
        <v>1631</v>
      </c>
      <c r="C134" s="75" t="s">
        <v>1383</v>
      </c>
      <c r="D134" s="25">
        <v>7</v>
      </c>
      <c r="E134" s="25">
        <v>5</v>
      </c>
      <c r="F134" s="25">
        <v>5</v>
      </c>
      <c r="G134" s="26">
        <v>5</v>
      </c>
      <c r="H134" s="76"/>
      <c r="I134" s="76"/>
      <c r="J134" s="76"/>
      <c r="K134" s="76"/>
      <c r="L134" s="76"/>
      <c r="M134" s="76"/>
      <c r="N134" s="76"/>
      <c r="O134" s="76"/>
      <c r="P134" s="77">
        <v>22</v>
      </c>
      <c r="Q134" s="38" t="s">
        <v>1382</v>
      </c>
    </row>
    <row r="135" spans="1:17">
      <c r="A135" s="25" t="s">
        <v>3</v>
      </c>
      <c r="B135" s="74" t="s">
        <v>1632</v>
      </c>
      <c r="C135" s="75" t="s">
        <v>1387</v>
      </c>
      <c r="D135" s="25">
        <v>0</v>
      </c>
      <c r="E135" s="25">
        <v>1</v>
      </c>
      <c r="F135" s="25">
        <v>0</v>
      </c>
      <c r="G135" s="26">
        <v>0</v>
      </c>
      <c r="H135" s="76"/>
      <c r="I135" s="76"/>
      <c r="J135" s="76"/>
      <c r="K135" s="76"/>
      <c r="L135" s="76"/>
      <c r="M135" s="76"/>
      <c r="N135" s="76"/>
      <c r="O135" s="76"/>
      <c r="P135" s="77">
        <v>1</v>
      </c>
      <c r="Q135" s="38" t="s">
        <v>1606</v>
      </c>
    </row>
    <row r="136" spans="1:17">
      <c r="A136" s="25" t="s">
        <v>3</v>
      </c>
      <c r="B136" s="74" t="s">
        <v>1633</v>
      </c>
      <c r="C136" s="75" t="s">
        <v>1281</v>
      </c>
      <c r="D136" s="25">
        <v>14</v>
      </c>
      <c r="E136" s="25">
        <v>37</v>
      </c>
      <c r="F136" s="25">
        <v>39</v>
      </c>
      <c r="G136" s="26">
        <v>38</v>
      </c>
      <c r="H136" s="76"/>
      <c r="I136" s="76"/>
      <c r="J136" s="76"/>
      <c r="K136" s="76"/>
      <c r="L136" s="76"/>
      <c r="M136" s="76"/>
      <c r="N136" s="76"/>
      <c r="O136" s="76"/>
      <c r="P136" s="77">
        <v>128</v>
      </c>
      <c r="Q136" s="38" t="s">
        <v>1327</v>
      </c>
    </row>
    <row r="137" spans="1:17" ht="43.5">
      <c r="A137" s="25" t="s">
        <v>3</v>
      </c>
      <c r="B137" s="74" t="s">
        <v>1634</v>
      </c>
      <c r="C137" s="75" t="s">
        <v>1521</v>
      </c>
      <c r="D137" s="25">
        <v>167</v>
      </c>
      <c r="E137" s="25">
        <v>166</v>
      </c>
      <c r="F137" s="25">
        <v>151</v>
      </c>
      <c r="G137" s="26">
        <v>186</v>
      </c>
      <c r="H137" s="76"/>
      <c r="I137" s="76"/>
      <c r="J137" s="76"/>
      <c r="K137" s="76"/>
      <c r="L137" s="76"/>
      <c r="M137" s="76"/>
      <c r="N137" s="76"/>
      <c r="O137" s="76"/>
      <c r="P137" s="77">
        <v>670</v>
      </c>
      <c r="Q137" s="38" t="s">
        <v>1520</v>
      </c>
    </row>
    <row r="138" spans="1:17" ht="29">
      <c r="A138" s="25" t="s">
        <v>3</v>
      </c>
      <c r="B138" s="74" t="s">
        <v>1635</v>
      </c>
      <c r="C138" s="75" t="s">
        <v>1485</v>
      </c>
      <c r="D138" s="25">
        <v>28</v>
      </c>
      <c r="E138" s="25">
        <v>49</v>
      </c>
      <c r="F138" s="25">
        <v>34</v>
      </c>
      <c r="G138" s="26">
        <v>45</v>
      </c>
      <c r="H138" s="76"/>
      <c r="I138" s="76"/>
      <c r="J138" s="76"/>
      <c r="K138" s="76"/>
      <c r="L138" s="76"/>
      <c r="M138" s="76"/>
      <c r="N138" s="76"/>
      <c r="O138" s="76"/>
      <c r="P138" s="77">
        <v>156</v>
      </c>
      <c r="Q138" s="38" t="s">
        <v>1636</v>
      </c>
    </row>
    <row r="139" spans="1:17" ht="29">
      <c r="A139" s="25" t="s">
        <v>3</v>
      </c>
      <c r="B139" s="74" t="s">
        <v>1637</v>
      </c>
      <c r="C139" s="75" t="s">
        <v>1498</v>
      </c>
      <c r="D139" s="25">
        <v>18</v>
      </c>
      <c r="E139" s="25">
        <v>16</v>
      </c>
      <c r="F139" s="25">
        <v>21</v>
      </c>
      <c r="G139" s="26">
        <v>23</v>
      </c>
      <c r="H139" s="76"/>
      <c r="I139" s="76"/>
      <c r="J139" s="76"/>
      <c r="K139" s="76"/>
      <c r="L139" s="76"/>
      <c r="M139" s="76"/>
      <c r="N139" s="76"/>
      <c r="O139" s="76"/>
      <c r="P139" s="77">
        <v>78</v>
      </c>
      <c r="Q139" s="38" t="s">
        <v>1497</v>
      </c>
    </row>
    <row r="140" spans="1:17" ht="29">
      <c r="A140" s="25" t="s">
        <v>3</v>
      </c>
      <c r="B140" s="74" t="s">
        <v>1638</v>
      </c>
      <c r="C140" s="75" t="s">
        <v>1500</v>
      </c>
      <c r="D140" s="25">
        <v>134</v>
      </c>
      <c r="E140" s="25">
        <v>243</v>
      </c>
      <c r="F140" s="25">
        <v>230</v>
      </c>
      <c r="G140" s="26">
        <v>256</v>
      </c>
      <c r="H140" s="76"/>
      <c r="I140" s="76"/>
      <c r="J140" s="76"/>
      <c r="K140" s="76"/>
      <c r="L140" s="76"/>
      <c r="M140" s="76"/>
      <c r="N140" s="76"/>
      <c r="O140" s="76"/>
      <c r="P140" s="77">
        <v>863</v>
      </c>
      <c r="Q140" s="38" t="s">
        <v>1499</v>
      </c>
    </row>
    <row r="141" spans="1:17">
      <c r="A141" s="25" t="s">
        <v>3</v>
      </c>
      <c r="B141" s="74" t="s">
        <v>1639</v>
      </c>
      <c r="C141" s="75" t="s">
        <v>1510</v>
      </c>
      <c r="D141" s="25">
        <v>55</v>
      </c>
      <c r="E141" s="25">
        <v>39</v>
      </c>
      <c r="F141" s="25">
        <v>46</v>
      </c>
      <c r="G141" s="26">
        <v>61</v>
      </c>
      <c r="H141" s="76"/>
      <c r="I141" s="76"/>
      <c r="J141" s="76"/>
      <c r="K141" s="76"/>
      <c r="L141" s="76"/>
      <c r="M141" s="76"/>
      <c r="N141" s="76"/>
      <c r="O141" s="76"/>
      <c r="P141" s="77">
        <v>201</v>
      </c>
      <c r="Q141" s="38" t="s">
        <v>1509</v>
      </c>
    </row>
    <row r="142" spans="1:17">
      <c r="A142" s="25" t="s">
        <v>3</v>
      </c>
      <c r="B142" s="74"/>
      <c r="C142" s="75"/>
      <c r="D142" s="26"/>
      <c r="E142" s="25"/>
      <c r="F142" s="25"/>
      <c r="G142" s="25"/>
      <c r="H142" s="76"/>
      <c r="I142" s="76"/>
      <c r="J142" s="76"/>
      <c r="K142" s="76"/>
      <c r="L142" s="76"/>
      <c r="M142" s="76"/>
      <c r="N142" s="76"/>
      <c r="O142" s="76"/>
      <c r="P142" s="77" t="s">
        <v>1448</v>
      </c>
      <c r="Q142" s="38" t="s">
        <v>1448</v>
      </c>
    </row>
    <row r="143" spans="1:17">
      <c r="A143" s="25" t="s">
        <v>3</v>
      </c>
      <c r="B143" s="74"/>
      <c r="C143" s="75"/>
      <c r="D143" s="26"/>
      <c r="E143" s="25"/>
      <c r="F143" s="25"/>
      <c r="G143" s="25"/>
      <c r="H143" s="76"/>
      <c r="I143" s="76"/>
      <c r="J143" s="76"/>
      <c r="K143" s="76"/>
      <c r="L143" s="76"/>
      <c r="M143" s="76"/>
      <c r="N143" s="76"/>
      <c r="O143" s="76"/>
      <c r="P143" s="77" t="s">
        <v>1448</v>
      </c>
      <c r="Q143" s="38" t="s">
        <v>1448</v>
      </c>
    </row>
    <row r="144" spans="1:17">
      <c r="A144" s="25" t="s">
        <v>3</v>
      </c>
      <c r="B144" s="74"/>
      <c r="C144" s="75"/>
      <c r="D144" s="26"/>
      <c r="E144" s="25"/>
      <c r="F144" s="25"/>
      <c r="G144" s="25"/>
      <c r="H144" s="76"/>
      <c r="I144" s="76"/>
      <c r="J144" s="76"/>
      <c r="K144" s="76"/>
      <c r="L144" s="76"/>
      <c r="M144" s="76"/>
      <c r="N144" s="76"/>
      <c r="O144" s="76"/>
      <c r="P144" s="77" t="s">
        <v>1448</v>
      </c>
      <c r="Q144" s="38" t="s">
        <v>1448</v>
      </c>
    </row>
    <row r="145" spans="1:17">
      <c r="A145" s="25" t="s">
        <v>3</v>
      </c>
      <c r="B145" s="74"/>
      <c r="C145" s="75"/>
      <c r="D145" s="26"/>
      <c r="E145" s="25"/>
      <c r="F145" s="25"/>
      <c r="G145" s="25"/>
      <c r="H145" s="76"/>
      <c r="I145" s="76"/>
      <c r="J145" s="76"/>
      <c r="K145" s="76"/>
      <c r="L145" s="76"/>
      <c r="M145" s="76"/>
      <c r="N145" s="76"/>
      <c r="O145" s="76"/>
      <c r="P145" s="77" t="s">
        <v>1448</v>
      </c>
      <c r="Q145" s="38" t="s">
        <v>1448</v>
      </c>
    </row>
    <row r="146" spans="1:17">
      <c r="A146" s="25" t="s">
        <v>3</v>
      </c>
      <c r="B146" s="74"/>
      <c r="C146" s="75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7" t="s">
        <v>1448</v>
      </c>
      <c r="Q146" s="38" t="s">
        <v>1448</v>
      </c>
    </row>
    <row r="147" spans="1:17">
      <c r="A147" s="25" t="s">
        <v>3</v>
      </c>
      <c r="B147" s="74"/>
      <c r="C147" s="162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7" t="s">
        <v>1448</v>
      </c>
      <c r="Q147" s="38" t="s">
        <v>1448</v>
      </c>
    </row>
    <row r="148" spans="1:17">
      <c r="A148" s="25" t="s">
        <v>3</v>
      </c>
      <c r="B148" s="74"/>
      <c r="C148" s="162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7" t="s">
        <v>1448</v>
      </c>
      <c r="Q148" s="38" t="s">
        <v>1448</v>
      </c>
    </row>
  </sheetData>
  <conditionalFormatting sqref="B3:B31">
    <cfRule type="duplicateValues" dxfId="104" priority="34"/>
  </conditionalFormatting>
  <conditionalFormatting sqref="B11 B13:B14">
    <cfRule type="duplicateValues" dxfId="103" priority="55"/>
  </conditionalFormatting>
  <conditionalFormatting sqref="B12">
    <cfRule type="duplicateValues" dxfId="102" priority="54"/>
  </conditionalFormatting>
  <conditionalFormatting sqref="B15">
    <cfRule type="duplicateValues" dxfId="101" priority="52"/>
    <cfRule type="duplicateValues" dxfId="100" priority="53"/>
  </conditionalFormatting>
  <conditionalFormatting sqref="B16">
    <cfRule type="duplicateValues" dxfId="99" priority="50"/>
    <cfRule type="duplicateValues" dxfId="98" priority="51"/>
  </conditionalFormatting>
  <conditionalFormatting sqref="B18">
    <cfRule type="duplicateValues" dxfId="96" priority="47"/>
    <cfRule type="duplicateValues" dxfId="95" priority="48"/>
    <cfRule type="duplicateValues" dxfId="97" priority="49"/>
  </conditionalFormatting>
  <conditionalFormatting sqref="B19:B24 B3:B17">
    <cfRule type="duplicateValues" dxfId="94" priority="57"/>
  </conditionalFormatting>
  <conditionalFormatting sqref="B19:B24 B11 B17 B13:B14">
    <cfRule type="duplicateValues" dxfId="93" priority="56"/>
  </conditionalFormatting>
  <conditionalFormatting sqref="B25">
    <cfRule type="duplicateValues" dxfId="92" priority="44"/>
    <cfRule type="duplicateValues" dxfId="91" priority="45"/>
    <cfRule type="duplicateValues" dxfId="90" priority="46"/>
  </conditionalFormatting>
  <conditionalFormatting sqref="B26">
    <cfRule type="duplicateValues" dxfId="89" priority="41"/>
    <cfRule type="duplicateValues" dxfId="88" priority="42"/>
    <cfRule type="duplicateValues" dxfId="87" priority="43"/>
  </conditionalFormatting>
  <conditionalFormatting sqref="B27">
    <cfRule type="duplicateValues" dxfId="86" priority="38"/>
    <cfRule type="duplicateValues" dxfId="85" priority="39"/>
    <cfRule type="duplicateValues" dxfId="84" priority="40"/>
  </conditionalFormatting>
  <conditionalFormatting sqref="B28">
    <cfRule type="duplicateValues" dxfId="83" priority="35"/>
    <cfRule type="duplicateValues" dxfId="82" priority="36"/>
    <cfRule type="duplicateValues" dxfId="81" priority="37"/>
  </conditionalFormatting>
  <conditionalFormatting sqref="B29">
    <cfRule type="duplicateValues" dxfId="80" priority="33"/>
  </conditionalFormatting>
  <conditionalFormatting sqref="B30">
    <cfRule type="duplicateValues" dxfId="79" priority="32"/>
  </conditionalFormatting>
  <conditionalFormatting sqref="B31">
    <cfRule type="duplicateValues" dxfId="78" priority="31"/>
  </conditionalFormatting>
  <conditionalFormatting sqref="B32">
    <cfRule type="duplicateValues" dxfId="77" priority="58"/>
  </conditionalFormatting>
  <conditionalFormatting sqref="B33:B34">
    <cfRule type="duplicateValues" dxfId="76" priority="59"/>
  </conditionalFormatting>
  <conditionalFormatting sqref="C32:C34">
    <cfRule type="duplicateValues" dxfId="75" priority="60"/>
  </conditionalFormatting>
  <conditionalFormatting sqref="B35">
    <cfRule type="duplicateValues" dxfId="65" priority="27"/>
  </conditionalFormatting>
  <conditionalFormatting sqref="B36:B38">
    <cfRule type="duplicateValues" dxfId="64" priority="29"/>
  </conditionalFormatting>
  <conditionalFormatting sqref="B39">
    <cfRule type="duplicateValues" dxfId="63" priority="26"/>
  </conditionalFormatting>
  <conditionalFormatting sqref="B40">
    <cfRule type="duplicateValues" dxfId="62" priority="25"/>
  </conditionalFormatting>
  <conditionalFormatting sqref="B41:B42">
    <cfRule type="duplicateValues" dxfId="61" priority="28"/>
  </conditionalFormatting>
  <conditionalFormatting sqref="C35:C42">
    <cfRule type="duplicateValues" dxfId="60" priority="30"/>
  </conditionalFormatting>
  <conditionalFormatting sqref="B60 B65:B83 B57 B43:B55">
    <cfRule type="duplicateValues" dxfId="42" priority="23"/>
  </conditionalFormatting>
  <conditionalFormatting sqref="B64:B83 B43:B62">
    <cfRule type="duplicateValues" dxfId="41" priority="24"/>
  </conditionalFormatting>
  <conditionalFormatting sqref="B58:B59">
    <cfRule type="duplicateValues" dxfId="40" priority="21"/>
  </conditionalFormatting>
  <conditionalFormatting sqref="B63">
    <cfRule type="duplicateValues" dxfId="39" priority="19"/>
    <cfRule type="duplicateValues" dxfId="38" priority="20"/>
  </conditionalFormatting>
  <conditionalFormatting sqref="B64 B61:B62 B56">
    <cfRule type="duplicateValues" dxfId="37" priority="22"/>
  </conditionalFormatting>
  <conditionalFormatting sqref="B90">
    <cfRule type="duplicateValues" dxfId="17" priority="16"/>
  </conditionalFormatting>
  <conditionalFormatting sqref="B94:B97">
    <cfRule type="duplicateValues" dxfId="16" priority="17"/>
  </conditionalFormatting>
  <conditionalFormatting sqref="B98:B101">
    <cfRule type="duplicateValues" dxfId="15" priority="15"/>
  </conditionalFormatting>
  <conditionalFormatting sqref="B102">
    <cfRule type="duplicateValues" dxfId="14" priority="9"/>
  </conditionalFormatting>
  <conditionalFormatting sqref="B103:B105">
    <cfRule type="duplicateValues" dxfId="13" priority="14"/>
  </conditionalFormatting>
  <conditionalFormatting sqref="B106">
    <cfRule type="duplicateValues" dxfId="12" priority="8"/>
  </conditionalFormatting>
  <conditionalFormatting sqref="B107">
    <cfRule type="duplicateValues" dxfId="11" priority="7"/>
  </conditionalFormatting>
  <conditionalFormatting sqref="B108:B109">
    <cfRule type="duplicateValues" dxfId="10" priority="13"/>
  </conditionalFormatting>
  <conditionalFormatting sqref="B110">
    <cfRule type="duplicateValues" dxfId="9" priority="6"/>
  </conditionalFormatting>
  <conditionalFormatting sqref="B111:B112">
    <cfRule type="duplicateValues" dxfId="8" priority="12"/>
  </conditionalFormatting>
  <conditionalFormatting sqref="B113">
    <cfRule type="duplicateValues" dxfId="7" priority="5"/>
  </conditionalFormatting>
  <conditionalFormatting sqref="B114:B116">
    <cfRule type="duplicateValues" dxfId="6" priority="11"/>
  </conditionalFormatting>
  <conditionalFormatting sqref="B117">
    <cfRule type="duplicateValues" dxfId="5" priority="1"/>
  </conditionalFormatting>
  <conditionalFormatting sqref="B118">
    <cfRule type="duplicateValues" dxfId="4" priority="18"/>
  </conditionalFormatting>
  <conditionalFormatting sqref="B119">
    <cfRule type="duplicateValues" dxfId="3" priority="4"/>
  </conditionalFormatting>
  <conditionalFormatting sqref="B120:B122">
    <cfRule type="duplicateValues" dxfId="2" priority="10"/>
  </conditionalFormatting>
  <conditionalFormatting sqref="B123">
    <cfRule type="duplicateValues" dxfId="1" priority="2"/>
  </conditionalFormatting>
  <conditionalFormatting sqref="B124:B148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213"/>
  <sheetViews>
    <sheetView zoomScale="85" zoomScaleNormal="85" workbookViewId="0">
      <pane xSplit="2" ySplit="2" topLeftCell="C25" activePane="bottomRight" state="frozen"/>
      <selection activeCell="I8" sqref="I8"/>
      <selection pane="topRight" activeCell="I8" sqref="I8"/>
      <selection pane="bottomLeft" activeCell="I8" sqref="I8"/>
      <selection pane="bottomRight" activeCell="A175" sqref="A175:Q213"/>
    </sheetView>
  </sheetViews>
  <sheetFormatPr defaultColWidth="8.7265625" defaultRowHeight="14.5"/>
  <cols>
    <col min="1" max="2" width="8.7265625" style="38"/>
    <col min="3" max="3" width="16" style="38" customWidth="1"/>
    <col min="4" max="4" width="40.54296875" style="38" bestFit="1" customWidth="1"/>
    <col min="5" max="16" width="8.1796875" style="38" customWidth="1"/>
    <col min="17" max="17" width="8.7265625" style="35"/>
    <col min="18" max="16384" width="8.7265625" style="38"/>
  </cols>
  <sheetData>
    <row r="1" spans="1:17" s="47" customFormat="1" ht="27" customHeight="1">
      <c r="A1" s="32" t="s">
        <v>1184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64"/>
    </row>
    <row r="2" spans="1:17" s="68" customFormat="1" ht="22" customHeight="1">
      <c r="A2" s="36" t="s">
        <v>5</v>
      </c>
      <c r="B2" s="65" t="s">
        <v>1214</v>
      </c>
      <c r="C2" s="65" t="s">
        <v>118</v>
      </c>
      <c r="D2" s="65" t="s">
        <v>1215</v>
      </c>
      <c r="E2" s="66" t="s">
        <v>7</v>
      </c>
      <c r="F2" s="66" t="s">
        <v>8</v>
      </c>
      <c r="G2" s="36" t="s">
        <v>12</v>
      </c>
      <c r="H2" s="36" t="s">
        <v>13</v>
      </c>
      <c r="I2" s="36" t="s">
        <v>109</v>
      </c>
      <c r="J2" s="36" t="s">
        <v>110</v>
      </c>
      <c r="K2" s="36" t="s">
        <v>111</v>
      </c>
      <c r="L2" s="36" t="s">
        <v>112</v>
      </c>
      <c r="M2" s="36" t="s">
        <v>113</v>
      </c>
      <c r="N2" s="36" t="s">
        <v>114</v>
      </c>
      <c r="O2" s="36" t="s">
        <v>115</v>
      </c>
      <c r="P2" s="36" t="s">
        <v>116</v>
      </c>
      <c r="Q2" s="67" t="s">
        <v>0</v>
      </c>
    </row>
    <row r="3" spans="1:17" ht="26.25" customHeight="1">
      <c r="A3" s="40" t="s">
        <v>2</v>
      </c>
      <c r="B3" s="128" t="s">
        <v>1397</v>
      </c>
      <c r="C3" s="127" t="s">
        <v>1288</v>
      </c>
      <c r="D3" s="129" t="s">
        <v>1398</v>
      </c>
      <c r="E3" s="127">
        <v>3</v>
      </c>
      <c r="F3" s="127">
        <v>2</v>
      </c>
      <c r="G3" s="127">
        <v>7</v>
      </c>
      <c r="H3" s="127">
        <v>13</v>
      </c>
      <c r="I3" s="71"/>
      <c r="J3" s="71"/>
      <c r="K3" s="71"/>
      <c r="L3" s="71"/>
      <c r="M3" s="71"/>
      <c r="N3" s="71"/>
      <c r="O3" s="71"/>
      <c r="P3" s="71"/>
      <c r="Q3" s="72">
        <v>25</v>
      </c>
    </row>
    <row r="4" spans="1:17" ht="26.25" customHeight="1">
      <c r="A4" s="40" t="s">
        <v>2</v>
      </c>
      <c r="B4" s="128" t="s">
        <v>1399</v>
      </c>
      <c r="C4" s="127" t="s">
        <v>1288</v>
      </c>
      <c r="D4" s="129" t="s">
        <v>1400</v>
      </c>
      <c r="E4" s="127">
        <v>6</v>
      </c>
      <c r="F4" s="127">
        <v>2</v>
      </c>
      <c r="G4" s="127">
        <v>1</v>
      </c>
      <c r="H4" s="127">
        <v>2</v>
      </c>
      <c r="I4" s="71"/>
      <c r="J4" s="71"/>
      <c r="K4" s="71"/>
      <c r="L4" s="71"/>
      <c r="M4" s="71"/>
      <c r="N4" s="71"/>
      <c r="O4" s="71"/>
      <c r="P4" s="71"/>
      <c r="Q4" s="72">
        <v>11</v>
      </c>
    </row>
    <row r="5" spans="1:17" ht="26.25" customHeight="1">
      <c r="A5" s="40" t="s">
        <v>2</v>
      </c>
      <c r="B5" s="128" t="s">
        <v>1401</v>
      </c>
      <c r="C5" s="127" t="s">
        <v>1288</v>
      </c>
      <c r="D5" s="129" t="s">
        <v>1402</v>
      </c>
      <c r="E5" s="127"/>
      <c r="F5" s="127">
        <v>3</v>
      </c>
      <c r="G5" s="127"/>
      <c r="H5" s="127"/>
      <c r="I5" s="71"/>
      <c r="J5" s="71"/>
      <c r="K5" s="71"/>
      <c r="L5" s="71"/>
      <c r="M5" s="71"/>
      <c r="N5" s="71"/>
      <c r="O5" s="71"/>
      <c r="P5" s="71"/>
      <c r="Q5" s="72">
        <v>3</v>
      </c>
    </row>
    <row r="6" spans="1:17" ht="26.25" customHeight="1">
      <c r="A6" s="40" t="s">
        <v>2</v>
      </c>
      <c r="B6" s="128" t="s">
        <v>1403</v>
      </c>
      <c r="C6" s="127" t="s">
        <v>1288</v>
      </c>
      <c r="D6" s="129" t="s">
        <v>1299</v>
      </c>
      <c r="E6" s="127">
        <v>1</v>
      </c>
      <c r="F6" s="127"/>
      <c r="G6" s="127"/>
      <c r="H6" s="127"/>
      <c r="I6" s="71"/>
      <c r="J6" s="71"/>
      <c r="K6" s="71"/>
      <c r="L6" s="71"/>
      <c r="M6" s="71"/>
      <c r="N6" s="71"/>
      <c r="O6" s="71"/>
      <c r="P6" s="71"/>
      <c r="Q6" s="72">
        <v>1</v>
      </c>
    </row>
    <row r="7" spans="1:17" ht="26.25" customHeight="1">
      <c r="A7" s="40" t="s">
        <v>2</v>
      </c>
      <c r="B7" s="128" t="s">
        <v>1399</v>
      </c>
      <c r="C7" s="127" t="s">
        <v>1288</v>
      </c>
      <c r="D7" s="129" t="s">
        <v>1400</v>
      </c>
      <c r="E7" s="127">
        <v>1</v>
      </c>
      <c r="F7" s="127"/>
      <c r="G7" s="127">
        <v>3</v>
      </c>
      <c r="H7" s="127">
        <v>1</v>
      </c>
      <c r="I7" s="71"/>
      <c r="J7" s="71"/>
      <c r="K7" s="71"/>
      <c r="L7" s="71"/>
      <c r="M7" s="71"/>
      <c r="N7" s="71"/>
      <c r="O7" s="71"/>
      <c r="P7" s="71"/>
      <c r="Q7" s="72">
        <v>5</v>
      </c>
    </row>
    <row r="8" spans="1:17" ht="26.25" customHeight="1">
      <c r="A8" s="40" t="s">
        <v>2</v>
      </c>
      <c r="B8" s="128" t="s">
        <v>1404</v>
      </c>
      <c r="C8" s="127" t="s">
        <v>1288</v>
      </c>
      <c r="D8" s="129" t="s">
        <v>1405</v>
      </c>
      <c r="E8" s="127">
        <v>5</v>
      </c>
      <c r="F8" s="127">
        <v>9</v>
      </c>
      <c r="G8" s="127"/>
      <c r="H8" s="127"/>
      <c r="I8" s="71"/>
      <c r="J8" s="71"/>
      <c r="K8" s="71"/>
      <c r="L8" s="71"/>
      <c r="M8" s="71"/>
      <c r="N8" s="71"/>
      <c r="O8" s="71"/>
      <c r="P8" s="71"/>
      <c r="Q8" s="72">
        <v>14</v>
      </c>
    </row>
    <row r="9" spans="1:17" ht="26.25" customHeight="1">
      <c r="A9" s="40" t="s">
        <v>2</v>
      </c>
      <c r="B9" s="128" t="s">
        <v>1397</v>
      </c>
      <c r="C9" s="127" t="s">
        <v>1288</v>
      </c>
      <c r="D9" s="129" t="s">
        <v>1398</v>
      </c>
      <c r="E9" s="127">
        <v>1</v>
      </c>
      <c r="F9" s="127">
        <v>2</v>
      </c>
      <c r="G9" s="127">
        <v>1</v>
      </c>
      <c r="H9" s="127"/>
      <c r="I9" s="71"/>
      <c r="J9" s="71"/>
      <c r="K9" s="71"/>
      <c r="L9" s="71"/>
      <c r="M9" s="71"/>
      <c r="N9" s="71"/>
      <c r="O9" s="71"/>
      <c r="P9" s="71"/>
      <c r="Q9" s="72">
        <v>4</v>
      </c>
    </row>
    <row r="10" spans="1:17" ht="26.25" customHeight="1">
      <c r="A10" s="40" t="s">
        <v>2</v>
      </c>
      <c r="B10" s="128" t="s">
        <v>1406</v>
      </c>
      <c r="C10" s="127" t="s">
        <v>1288</v>
      </c>
      <c r="D10" s="129" t="s">
        <v>1407</v>
      </c>
      <c r="E10" s="127"/>
      <c r="F10" s="127"/>
      <c r="G10" s="127">
        <v>1</v>
      </c>
      <c r="H10" s="127"/>
      <c r="I10" s="71"/>
      <c r="J10" s="71"/>
      <c r="K10" s="71"/>
      <c r="L10" s="71"/>
      <c r="M10" s="71"/>
      <c r="N10" s="71"/>
      <c r="O10" s="71"/>
      <c r="P10" s="71"/>
      <c r="Q10" s="72">
        <v>1</v>
      </c>
    </row>
    <row r="11" spans="1:17" ht="26.25" customHeight="1">
      <c r="A11" s="40" t="s">
        <v>2</v>
      </c>
      <c r="B11" s="128" t="s">
        <v>1408</v>
      </c>
      <c r="C11" s="127" t="s">
        <v>1288</v>
      </c>
      <c r="D11" s="129" t="s">
        <v>1409</v>
      </c>
      <c r="E11" s="127"/>
      <c r="F11" s="127"/>
      <c r="G11" s="127"/>
      <c r="H11" s="127">
        <v>1</v>
      </c>
      <c r="I11" s="71"/>
      <c r="J11" s="71"/>
      <c r="K11" s="71"/>
      <c r="L11" s="71"/>
      <c r="M11" s="71"/>
      <c r="N11" s="71"/>
      <c r="O11" s="71"/>
      <c r="P11" s="71"/>
      <c r="Q11" s="72">
        <v>1</v>
      </c>
    </row>
    <row r="12" spans="1:17" ht="26.25" customHeight="1">
      <c r="A12" s="40" t="s">
        <v>2</v>
      </c>
      <c r="B12" s="128" t="s">
        <v>1401</v>
      </c>
      <c r="C12" s="127" t="s">
        <v>1288</v>
      </c>
      <c r="D12" s="129" t="s">
        <v>1402</v>
      </c>
      <c r="E12" s="127"/>
      <c r="F12" s="127"/>
      <c r="G12" s="127">
        <v>2</v>
      </c>
      <c r="H12" s="127">
        <v>2</v>
      </c>
      <c r="I12" s="71"/>
      <c r="J12" s="71"/>
      <c r="K12" s="71"/>
      <c r="L12" s="71"/>
      <c r="M12" s="71"/>
      <c r="N12" s="71"/>
      <c r="O12" s="71"/>
      <c r="P12" s="71"/>
      <c r="Q12" s="72">
        <v>4</v>
      </c>
    </row>
    <row r="13" spans="1:17" ht="26.25" customHeight="1">
      <c r="A13" s="40" t="s">
        <v>2</v>
      </c>
      <c r="B13" s="128" t="s">
        <v>1399</v>
      </c>
      <c r="C13" s="127" t="s">
        <v>1288</v>
      </c>
      <c r="D13" s="129" t="s">
        <v>1400</v>
      </c>
      <c r="E13" s="127">
        <v>41</v>
      </c>
      <c r="F13" s="127">
        <v>45</v>
      </c>
      <c r="G13" s="127">
        <v>36</v>
      </c>
      <c r="H13" s="127">
        <v>27</v>
      </c>
      <c r="I13" s="71"/>
      <c r="J13" s="71"/>
      <c r="K13" s="71"/>
      <c r="L13" s="71"/>
      <c r="M13" s="71"/>
      <c r="N13" s="71"/>
      <c r="O13" s="71"/>
      <c r="P13" s="71"/>
      <c r="Q13" s="72">
        <v>149</v>
      </c>
    </row>
    <row r="14" spans="1:17" ht="26.25" customHeight="1">
      <c r="A14" s="40" t="s">
        <v>2</v>
      </c>
      <c r="B14" s="128" t="s">
        <v>1404</v>
      </c>
      <c r="C14" s="127" t="s">
        <v>1288</v>
      </c>
      <c r="D14" s="129" t="s">
        <v>1405</v>
      </c>
      <c r="E14" s="127"/>
      <c r="F14" s="127"/>
      <c r="G14" s="127"/>
      <c r="H14" s="127">
        <v>2</v>
      </c>
      <c r="I14" s="71"/>
      <c r="J14" s="71"/>
      <c r="K14" s="71"/>
      <c r="L14" s="71"/>
      <c r="M14" s="71"/>
      <c r="N14" s="71"/>
      <c r="O14" s="71"/>
      <c r="P14" s="71"/>
      <c r="Q14" s="72">
        <v>2</v>
      </c>
    </row>
    <row r="15" spans="1:17" ht="26.25" customHeight="1">
      <c r="A15" s="40" t="s">
        <v>2</v>
      </c>
      <c r="B15" s="128" t="s">
        <v>1408</v>
      </c>
      <c r="C15" s="127" t="s">
        <v>1288</v>
      </c>
      <c r="D15" s="129" t="s">
        <v>1409</v>
      </c>
      <c r="E15" s="127"/>
      <c r="F15" s="127"/>
      <c r="G15" s="127"/>
      <c r="H15" s="127">
        <v>1</v>
      </c>
      <c r="I15" s="71"/>
      <c r="J15" s="71"/>
      <c r="K15" s="71"/>
      <c r="L15" s="71"/>
      <c r="M15" s="71"/>
      <c r="N15" s="71"/>
      <c r="O15" s="71"/>
      <c r="P15" s="71"/>
      <c r="Q15" s="72">
        <v>1</v>
      </c>
    </row>
    <row r="16" spans="1:17" ht="26.25" customHeight="1">
      <c r="A16" s="40" t="s">
        <v>2</v>
      </c>
      <c r="B16" s="128" t="s">
        <v>1401</v>
      </c>
      <c r="C16" s="127" t="s">
        <v>1288</v>
      </c>
      <c r="D16" s="129" t="s">
        <v>1402</v>
      </c>
      <c r="E16" s="127">
        <v>3</v>
      </c>
      <c r="F16" s="127">
        <v>3</v>
      </c>
      <c r="G16" s="127"/>
      <c r="H16" s="127">
        <v>1</v>
      </c>
      <c r="I16" s="71"/>
      <c r="J16" s="71"/>
      <c r="K16" s="71"/>
      <c r="L16" s="71"/>
      <c r="M16" s="71"/>
      <c r="N16" s="71"/>
      <c r="O16" s="71"/>
      <c r="P16" s="71"/>
      <c r="Q16" s="72">
        <v>7</v>
      </c>
    </row>
    <row r="17" spans="1:17" ht="26.25" customHeight="1">
      <c r="A17" s="40" t="s">
        <v>2</v>
      </c>
      <c r="B17" s="128" t="s">
        <v>1399</v>
      </c>
      <c r="C17" s="127" t="s">
        <v>1288</v>
      </c>
      <c r="D17" s="129" t="s">
        <v>1400</v>
      </c>
      <c r="E17" s="127">
        <v>23</v>
      </c>
      <c r="F17" s="127">
        <v>25</v>
      </c>
      <c r="G17" s="127">
        <v>14</v>
      </c>
      <c r="H17" s="127">
        <v>3</v>
      </c>
      <c r="I17" s="71"/>
      <c r="J17" s="71"/>
      <c r="K17" s="71"/>
      <c r="L17" s="71"/>
      <c r="M17" s="71"/>
      <c r="N17" s="71"/>
      <c r="O17" s="71"/>
      <c r="P17" s="71"/>
      <c r="Q17" s="72">
        <v>65</v>
      </c>
    </row>
    <row r="18" spans="1:17" ht="29">
      <c r="A18" s="40" t="s">
        <v>2</v>
      </c>
      <c r="B18" s="128" t="s">
        <v>1404</v>
      </c>
      <c r="C18" s="127" t="s">
        <v>1288</v>
      </c>
      <c r="D18" s="129" t="s">
        <v>1405</v>
      </c>
      <c r="E18" s="127"/>
      <c r="F18" s="127">
        <v>1</v>
      </c>
      <c r="G18" s="127">
        <v>1</v>
      </c>
      <c r="H18" s="127"/>
      <c r="I18" s="71"/>
      <c r="J18" s="71"/>
      <c r="K18" s="71"/>
      <c r="L18" s="71"/>
      <c r="M18" s="71"/>
      <c r="N18" s="71"/>
      <c r="O18" s="71"/>
      <c r="P18" s="71"/>
      <c r="Q18" s="72">
        <v>2</v>
      </c>
    </row>
    <row r="19" spans="1:17" ht="29">
      <c r="A19" s="40" t="s">
        <v>2</v>
      </c>
      <c r="B19" s="128" t="s">
        <v>1401</v>
      </c>
      <c r="C19" s="127" t="s">
        <v>1288</v>
      </c>
      <c r="D19" s="129" t="s">
        <v>1402</v>
      </c>
      <c r="E19" s="127"/>
      <c r="F19" s="127"/>
      <c r="G19" s="127">
        <v>1</v>
      </c>
      <c r="H19" s="127"/>
      <c r="I19" s="71"/>
      <c r="J19" s="71"/>
      <c r="K19" s="71"/>
      <c r="L19" s="71"/>
      <c r="M19" s="71"/>
      <c r="N19" s="71"/>
      <c r="O19" s="71"/>
      <c r="P19" s="71"/>
      <c r="Q19" s="72">
        <v>1</v>
      </c>
    </row>
    <row r="20" spans="1:17" ht="29">
      <c r="A20" s="40" t="s">
        <v>2</v>
      </c>
      <c r="B20" s="128" t="s">
        <v>1410</v>
      </c>
      <c r="C20" s="127" t="s">
        <v>1288</v>
      </c>
      <c r="D20" s="129" t="s">
        <v>1411</v>
      </c>
      <c r="E20" s="127">
        <v>1</v>
      </c>
      <c r="F20" s="127"/>
      <c r="G20" s="127"/>
      <c r="H20" s="127"/>
      <c r="I20" s="71"/>
      <c r="J20" s="71"/>
      <c r="K20" s="71"/>
      <c r="L20" s="71"/>
      <c r="M20" s="71"/>
      <c r="N20" s="71"/>
      <c r="O20" s="71"/>
      <c r="P20" s="71"/>
      <c r="Q20" s="72">
        <v>1</v>
      </c>
    </row>
    <row r="21" spans="1:17" ht="29">
      <c r="A21" s="40" t="s">
        <v>2</v>
      </c>
      <c r="B21" s="128" t="s">
        <v>1412</v>
      </c>
      <c r="C21" s="127" t="s">
        <v>1288</v>
      </c>
      <c r="D21" s="129" t="s">
        <v>1413</v>
      </c>
      <c r="E21" s="127">
        <v>1</v>
      </c>
      <c r="F21" s="127">
        <v>1</v>
      </c>
      <c r="G21" s="127"/>
      <c r="H21" s="127"/>
      <c r="I21" s="71"/>
      <c r="J21" s="71"/>
      <c r="K21" s="71"/>
      <c r="L21" s="71"/>
      <c r="M21" s="71"/>
      <c r="N21" s="71"/>
      <c r="O21" s="71"/>
      <c r="P21" s="71"/>
      <c r="Q21" s="72">
        <v>2</v>
      </c>
    </row>
    <row r="22" spans="1:17" ht="29">
      <c r="A22" s="40" t="s">
        <v>2</v>
      </c>
      <c r="B22" s="128" t="s">
        <v>1399</v>
      </c>
      <c r="C22" s="127" t="s">
        <v>1288</v>
      </c>
      <c r="D22" s="129" t="s">
        <v>1400</v>
      </c>
      <c r="E22" s="127"/>
      <c r="F22" s="127"/>
      <c r="G22" s="127"/>
      <c r="H22" s="127">
        <v>1</v>
      </c>
      <c r="I22" s="71"/>
      <c r="J22" s="71"/>
      <c r="K22" s="71"/>
      <c r="L22" s="71"/>
      <c r="M22" s="71"/>
      <c r="N22" s="71"/>
      <c r="O22" s="71"/>
      <c r="P22" s="71"/>
      <c r="Q22" s="72">
        <v>1</v>
      </c>
    </row>
    <row r="23" spans="1:17" ht="43.5">
      <c r="A23" s="40" t="s">
        <v>2</v>
      </c>
      <c r="B23" s="128" t="s">
        <v>1403</v>
      </c>
      <c r="C23" s="127" t="s">
        <v>1298</v>
      </c>
      <c r="D23" s="129" t="s">
        <v>1299</v>
      </c>
      <c r="E23" s="127"/>
      <c r="F23" s="127"/>
      <c r="G23" s="127"/>
      <c r="H23" s="127">
        <v>1</v>
      </c>
      <c r="I23" s="71"/>
      <c r="J23" s="71"/>
      <c r="K23" s="71"/>
      <c r="L23" s="71"/>
      <c r="M23" s="71"/>
      <c r="N23" s="71"/>
      <c r="O23" s="71"/>
      <c r="P23" s="71"/>
      <c r="Q23" s="72">
        <v>1</v>
      </c>
    </row>
    <row r="24" spans="1:17" ht="29">
      <c r="A24" s="40" t="s">
        <v>2</v>
      </c>
      <c r="B24" s="128" t="s">
        <v>1401</v>
      </c>
      <c r="C24" s="127" t="s">
        <v>1298</v>
      </c>
      <c r="D24" s="129" t="s">
        <v>1402</v>
      </c>
      <c r="E24" s="127"/>
      <c r="F24" s="127"/>
      <c r="G24" s="127"/>
      <c r="H24" s="127">
        <v>1</v>
      </c>
      <c r="I24" s="71"/>
      <c r="J24" s="71"/>
      <c r="K24" s="71"/>
      <c r="L24" s="71"/>
      <c r="M24" s="71"/>
      <c r="N24" s="71"/>
      <c r="O24" s="71"/>
      <c r="P24" s="71"/>
      <c r="Q24" s="72">
        <v>1</v>
      </c>
    </row>
    <row r="25" spans="1:17" ht="58">
      <c r="A25" s="40" t="s">
        <v>2</v>
      </c>
      <c r="B25" s="128" t="s">
        <v>1414</v>
      </c>
      <c r="C25" s="127" t="s">
        <v>1298</v>
      </c>
      <c r="D25" s="129" t="s">
        <v>1415</v>
      </c>
      <c r="E25" s="127"/>
      <c r="F25" s="127"/>
      <c r="G25" s="127">
        <v>1</v>
      </c>
      <c r="H25" s="127"/>
      <c r="I25" s="71"/>
      <c r="J25" s="71"/>
      <c r="K25" s="71"/>
      <c r="L25" s="71"/>
      <c r="M25" s="71"/>
      <c r="N25" s="71"/>
      <c r="O25" s="71"/>
      <c r="P25" s="71"/>
      <c r="Q25" s="72">
        <v>1</v>
      </c>
    </row>
    <row r="26" spans="1:17" ht="43.5">
      <c r="A26" s="40" t="s">
        <v>2</v>
      </c>
      <c r="B26" s="128" t="s">
        <v>1416</v>
      </c>
      <c r="C26" s="127" t="s">
        <v>1333</v>
      </c>
      <c r="D26" s="129" t="s">
        <v>1417</v>
      </c>
      <c r="E26" s="127"/>
      <c r="F26" s="13"/>
      <c r="G26" s="13"/>
      <c r="H26" s="13">
        <v>1</v>
      </c>
      <c r="I26" s="71"/>
      <c r="J26" s="71"/>
      <c r="K26" s="71"/>
      <c r="L26" s="71"/>
      <c r="M26" s="71"/>
      <c r="N26" s="71"/>
      <c r="O26" s="71"/>
      <c r="P26" s="71"/>
      <c r="Q26" s="72">
        <v>1</v>
      </c>
    </row>
    <row r="27" spans="1:17" ht="29">
      <c r="A27" s="40" t="s">
        <v>2</v>
      </c>
      <c r="B27" s="128" t="s">
        <v>1401</v>
      </c>
      <c r="C27" s="127" t="s">
        <v>1333</v>
      </c>
      <c r="D27" s="129" t="s">
        <v>1402</v>
      </c>
      <c r="E27" s="127"/>
      <c r="F27" s="13"/>
      <c r="G27" s="13"/>
      <c r="H27" s="13">
        <v>1</v>
      </c>
      <c r="I27" s="71"/>
      <c r="J27" s="71"/>
      <c r="K27" s="71"/>
      <c r="L27" s="71"/>
      <c r="M27" s="71"/>
      <c r="N27" s="71"/>
      <c r="O27" s="71"/>
      <c r="P27" s="71"/>
      <c r="Q27" s="72">
        <v>1</v>
      </c>
    </row>
    <row r="28" spans="1:17" ht="43.5">
      <c r="A28" s="40" t="s">
        <v>2</v>
      </c>
      <c r="B28" s="128" t="s">
        <v>1418</v>
      </c>
      <c r="C28" s="127" t="s">
        <v>1333</v>
      </c>
      <c r="D28" s="129" t="s">
        <v>1419</v>
      </c>
      <c r="E28" s="127"/>
      <c r="F28" s="13">
        <v>1</v>
      </c>
      <c r="G28" s="13"/>
      <c r="H28" s="13"/>
      <c r="I28" s="71"/>
      <c r="J28" s="71"/>
      <c r="K28" s="71"/>
      <c r="L28" s="71"/>
      <c r="M28" s="71"/>
      <c r="N28" s="71"/>
      <c r="O28" s="71"/>
      <c r="P28" s="71"/>
      <c r="Q28" s="72">
        <v>1</v>
      </c>
    </row>
    <row r="29" spans="1:17" ht="29">
      <c r="A29" s="40" t="s">
        <v>2</v>
      </c>
      <c r="B29" s="128" t="s">
        <v>1401</v>
      </c>
      <c r="C29" s="127" t="s">
        <v>1285</v>
      </c>
      <c r="D29" s="129" t="s">
        <v>1402</v>
      </c>
      <c r="E29" s="127"/>
      <c r="F29" s="13">
        <v>1</v>
      </c>
      <c r="G29" s="13"/>
      <c r="H29" s="13"/>
      <c r="I29" s="71"/>
      <c r="J29" s="71"/>
      <c r="K29" s="71"/>
      <c r="L29" s="71"/>
      <c r="M29" s="71"/>
      <c r="N29" s="71"/>
      <c r="O29" s="71"/>
      <c r="P29" s="71"/>
      <c r="Q29" s="72">
        <v>1</v>
      </c>
    </row>
    <row r="30" spans="1:17" ht="43.5">
      <c r="A30" s="40" t="s">
        <v>2</v>
      </c>
      <c r="B30" s="128" t="s">
        <v>1403</v>
      </c>
      <c r="C30" s="127" t="s">
        <v>1285</v>
      </c>
      <c r="D30" s="129" t="s">
        <v>1299</v>
      </c>
      <c r="E30" s="127"/>
      <c r="F30" s="13"/>
      <c r="G30" s="13">
        <v>1</v>
      </c>
      <c r="H30" s="13">
        <v>1</v>
      </c>
      <c r="I30" s="71"/>
      <c r="J30" s="71"/>
      <c r="K30" s="71"/>
      <c r="L30" s="71"/>
      <c r="M30" s="71"/>
      <c r="N30" s="71"/>
      <c r="O30" s="71"/>
      <c r="P30" s="71"/>
      <c r="Q30" s="72">
        <v>2</v>
      </c>
    </row>
    <row r="31" spans="1:17" ht="43.5">
      <c r="A31" s="40" t="s">
        <v>2</v>
      </c>
      <c r="B31" s="128" t="s">
        <v>1403</v>
      </c>
      <c r="C31" s="127" t="s">
        <v>1285</v>
      </c>
      <c r="D31" s="129" t="s">
        <v>1299</v>
      </c>
      <c r="E31" s="127"/>
      <c r="F31" s="13"/>
      <c r="G31" s="13">
        <v>1</v>
      </c>
      <c r="H31" s="13"/>
      <c r="I31" s="71"/>
      <c r="J31" s="71"/>
      <c r="K31" s="71"/>
      <c r="L31" s="71"/>
      <c r="M31" s="71"/>
      <c r="N31" s="71"/>
      <c r="O31" s="71"/>
      <c r="P31" s="71"/>
      <c r="Q31" s="72">
        <v>1</v>
      </c>
    </row>
    <row r="32" spans="1:17" ht="29">
      <c r="A32" s="40" t="s">
        <v>2</v>
      </c>
      <c r="B32" s="128" t="s">
        <v>1406</v>
      </c>
      <c r="C32" s="127" t="s">
        <v>1285</v>
      </c>
      <c r="D32" s="129" t="s">
        <v>1407</v>
      </c>
      <c r="E32" s="127"/>
      <c r="F32" s="13">
        <v>1</v>
      </c>
      <c r="G32" s="13"/>
      <c r="H32" s="13"/>
      <c r="I32" s="71"/>
      <c r="J32" s="71"/>
      <c r="K32" s="71"/>
      <c r="L32" s="71"/>
      <c r="M32" s="71"/>
      <c r="N32" s="71"/>
      <c r="O32" s="71"/>
      <c r="P32" s="71"/>
      <c r="Q32" s="72">
        <v>1</v>
      </c>
    </row>
    <row r="33" spans="1:17" ht="29">
      <c r="A33" s="40" t="s">
        <v>2</v>
      </c>
      <c r="B33" s="128" t="s">
        <v>1401</v>
      </c>
      <c r="C33" s="127" t="s">
        <v>1298</v>
      </c>
      <c r="D33" s="129" t="s">
        <v>1402</v>
      </c>
      <c r="E33" s="127"/>
      <c r="F33" s="13"/>
      <c r="G33" s="13"/>
      <c r="H33" s="13">
        <v>1</v>
      </c>
      <c r="I33" s="71"/>
      <c r="J33" s="71"/>
      <c r="K33" s="71"/>
      <c r="L33" s="71"/>
      <c r="M33" s="71"/>
      <c r="N33" s="71"/>
      <c r="O33" s="71"/>
      <c r="P33" s="71"/>
      <c r="Q33" s="72">
        <v>1</v>
      </c>
    </row>
    <row r="34" spans="1:17" ht="43.5">
      <c r="A34" s="40" t="s">
        <v>2</v>
      </c>
      <c r="B34" s="128" t="s">
        <v>1418</v>
      </c>
      <c r="C34" s="127" t="s">
        <v>1298</v>
      </c>
      <c r="D34" s="129" t="s">
        <v>1419</v>
      </c>
      <c r="E34" s="127"/>
      <c r="F34" s="13">
        <v>1</v>
      </c>
      <c r="G34" s="13"/>
      <c r="H34" s="13"/>
      <c r="I34" s="71"/>
      <c r="J34" s="71"/>
      <c r="K34" s="71"/>
      <c r="L34" s="71"/>
      <c r="M34" s="71"/>
      <c r="N34" s="71"/>
      <c r="O34" s="71"/>
      <c r="P34" s="71"/>
      <c r="Q34" s="72">
        <v>1</v>
      </c>
    </row>
    <row r="35" spans="1:17" ht="29">
      <c r="A35" s="40" t="s">
        <v>2</v>
      </c>
      <c r="B35" s="122" t="s">
        <v>1401</v>
      </c>
      <c r="C35" s="127" t="s">
        <v>1285</v>
      </c>
      <c r="D35" s="129" t="s">
        <v>1402</v>
      </c>
      <c r="E35" s="13"/>
      <c r="F35" s="13">
        <v>1</v>
      </c>
      <c r="G35" s="13">
        <v>1</v>
      </c>
      <c r="H35" s="13"/>
      <c r="I35" s="71"/>
      <c r="J35" s="71"/>
      <c r="K35" s="71"/>
      <c r="L35" s="71"/>
      <c r="M35" s="71"/>
      <c r="N35" s="71"/>
      <c r="O35" s="71"/>
      <c r="P35" s="71"/>
      <c r="Q35" s="72">
        <v>2</v>
      </c>
    </row>
    <row r="36" spans="1:17" ht="29">
      <c r="A36" s="40" t="s">
        <v>2</v>
      </c>
      <c r="B36" s="122" t="s">
        <v>1401</v>
      </c>
      <c r="C36" s="127" t="s">
        <v>1285</v>
      </c>
      <c r="D36" s="129" t="s">
        <v>1402</v>
      </c>
      <c r="E36" s="13">
        <v>1</v>
      </c>
      <c r="F36" s="13">
        <v>1</v>
      </c>
      <c r="G36" s="13"/>
      <c r="H36" s="13"/>
      <c r="I36" s="71"/>
      <c r="J36" s="71"/>
      <c r="K36" s="71"/>
      <c r="L36" s="71"/>
      <c r="M36" s="71"/>
      <c r="N36" s="71"/>
      <c r="O36" s="71"/>
      <c r="P36" s="71"/>
      <c r="Q36" s="72">
        <v>2</v>
      </c>
    </row>
    <row r="37" spans="1:17" ht="29">
      <c r="A37" s="40" t="s">
        <v>2</v>
      </c>
      <c r="B37" s="122" t="s">
        <v>1401</v>
      </c>
      <c r="C37" s="127" t="s">
        <v>1288</v>
      </c>
      <c r="D37" s="129" t="s">
        <v>1402</v>
      </c>
      <c r="E37" s="13"/>
      <c r="F37" s="13"/>
      <c r="G37" s="13">
        <v>1</v>
      </c>
      <c r="H37" s="13"/>
      <c r="I37" s="71"/>
      <c r="J37" s="71"/>
      <c r="K37" s="71"/>
      <c r="L37" s="71"/>
      <c r="M37" s="71"/>
      <c r="N37" s="71"/>
      <c r="O37" s="71"/>
      <c r="P37" s="71"/>
      <c r="Q37" s="72">
        <v>1</v>
      </c>
    </row>
    <row r="38" spans="1:17" ht="29">
      <c r="A38" s="40" t="s">
        <v>2</v>
      </c>
      <c r="B38" s="122" t="s">
        <v>1401</v>
      </c>
      <c r="C38" s="127" t="s">
        <v>1288</v>
      </c>
      <c r="D38" s="129" t="s">
        <v>1402</v>
      </c>
      <c r="E38" s="13"/>
      <c r="F38" s="13">
        <v>1</v>
      </c>
      <c r="G38" s="13"/>
      <c r="H38" s="13"/>
      <c r="I38" s="71"/>
      <c r="J38" s="71"/>
      <c r="K38" s="71"/>
      <c r="L38" s="71"/>
      <c r="M38" s="71"/>
      <c r="N38" s="71"/>
      <c r="O38" s="71"/>
      <c r="P38" s="71"/>
      <c r="Q38" s="72">
        <v>1</v>
      </c>
    </row>
    <row r="39" spans="1:17" ht="29">
      <c r="A39" s="40" t="s">
        <v>2</v>
      </c>
      <c r="B39" s="122" t="s">
        <v>1401</v>
      </c>
      <c r="C39" s="127" t="s">
        <v>1288</v>
      </c>
      <c r="D39" s="129" t="s">
        <v>1402</v>
      </c>
      <c r="E39" s="13"/>
      <c r="F39" s="13">
        <v>3</v>
      </c>
      <c r="G39" s="13"/>
      <c r="H39" s="13"/>
      <c r="I39" s="71"/>
      <c r="J39" s="71"/>
      <c r="K39" s="71"/>
      <c r="L39" s="71"/>
      <c r="M39" s="71"/>
      <c r="N39" s="71"/>
      <c r="O39" s="71"/>
      <c r="P39" s="71"/>
      <c r="Q39" s="72">
        <v>3</v>
      </c>
    </row>
    <row r="40" spans="1:17" ht="29">
      <c r="A40" s="40" t="s">
        <v>2</v>
      </c>
      <c r="B40" s="122" t="s">
        <v>1401</v>
      </c>
      <c r="C40" s="127" t="s">
        <v>1298</v>
      </c>
      <c r="D40" s="129" t="s">
        <v>1402</v>
      </c>
      <c r="E40" s="13"/>
      <c r="F40" s="13"/>
      <c r="G40" s="13">
        <v>1</v>
      </c>
      <c r="H40" s="13">
        <v>3</v>
      </c>
      <c r="I40" s="71"/>
      <c r="J40" s="71"/>
      <c r="K40" s="71"/>
      <c r="L40" s="71"/>
      <c r="M40" s="71"/>
      <c r="N40" s="71"/>
      <c r="O40" s="71"/>
      <c r="P40" s="71"/>
      <c r="Q40" s="72">
        <v>4</v>
      </c>
    </row>
    <row r="41" spans="1:17" ht="29">
      <c r="A41" s="40" t="s">
        <v>2</v>
      </c>
      <c r="B41" s="122" t="s">
        <v>1401</v>
      </c>
      <c r="C41" s="127" t="s">
        <v>1298</v>
      </c>
      <c r="D41" s="129" t="s">
        <v>1402</v>
      </c>
      <c r="E41" s="13"/>
      <c r="F41" s="13">
        <v>3</v>
      </c>
      <c r="G41" s="13"/>
      <c r="H41" s="13"/>
      <c r="I41" s="71"/>
      <c r="J41" s="71"/>
      <c r="K41" s="71"/>
      <c r="L41" s="71"/>
      <c r="M41" s="71"/>
      <c r="N41" s="71"/>
      <c r="O41" s="71"/>
      <c r="P41" s="71"/>
      <c r="Q41" s="72">
        <v>3</v>
      </c>
    </row>
    <row r="42" spans="1:17" ht="29">
      <c r="A42" s="40" t="s">
        <v>2</v>
      </c>
      <c r="B42" s="122" t="s">
        <v>1401</v>
      </c>
      <c r="C42" s="127" t="s">
        <v>1285</v>
      </c>
      <c r="D42" s="129" t="s">
        <v>1402</v>
      </c>
      <c r="E42" s="13">
        <v>1</v>
      </c>
      <c r="F42" s="13"/>
      <c r="G42" s="13"/>
      <c r="H42" s="13"/>
      <c r="I42" s="71"/>
      <c r="J42" s="71"/>
      <c r="K42" s="71"/>
      <c r="L42" s="71"/>
      <c r="M42" s="71"/>
      <c r="N42" s="71"/>
      <c r="O42" s="71"/>
      <c r="P42" s="71"/>
      <c r="Q42" s="72">
        <v>1</v>
      </c>
    </row>
    <row r="43" spans="1:17" ht="29">
      <c r="A43" s="40" t="s">
        <v>2</v>
      </c>
      <c r="B43" s="122" t="s">
        <v>1401</v>
      </c>
      <c r="C43" s="127" t="s">
        <v>1285</v>
      </c>
      <c r="D43" s="129" t="s">
        <v>1402</v>
      </c>
      <c r="E43" s="13">
        <v>1</v>
      </c>
      <c r="F43" s="13"/>
      <c r="G43" s="13"/>
      <c r="H43" s="13"/>
      <c r="I43" s="71"/>
      <c r="J43" s="71"/>
      <c r="K43" s="71"/>
      <c r="L43" s="71"/>
      <c r="M43" s="71"/>
      <c r="N43" s="71"/>
      <c r="O43" s="71"/>
      <c r="P43" s="71"/>
      <c r="Q43" s="72">
        <v>1</v>
      </c>
    </row>
    <row r="44" spans="1:17" ht="29">
      <c r="A44" s="40" t="s">
        <v>2</v>
      </c>
      <c r="B44" s="122" t="s">
        <v>1401</v>
      </c>
      <c r="C44" s="127" t="s">
        <v>1298</v>
      </c>
      <c r="D44" s="129" t="s">
        <v>1402</v>
      </c>
      <c r="E44" s="13"/>
      <c r="F44" s="13">
        <v>1</v>
      </c>
      <c r="G44" s="13"/>
      <c r="H44" s="13"/>
      <c r="I44" s="71"/>
      <c r="J44" s="71"/>
      <c r="K44" s="71"/>
      <c r="L44" s="71"/>
      <c r="M44" s="71"/>
      <c r="N44" s="71"/>
      <c r="O44" s="71"/>
      <c r="P44" s="71"/>
      <c r="Q44" s="72">
        <v>1</v>
      </c>
    </row>
    <row r="45" spans="1:17" ht="29">
      <c r="A45" s="40" t="s">
        <v>2</v>
      </c>
      <c r="B45" s="122" t="s">
        <v>1401</v>
      </c>
      <c r="C45" s="127" t="s">
        <v>1333</v>
      </c>
      <c r="D45" s="129" t="s">
        <v>1402</v>
      </c>
      <c r="E45" s="13"/>
      <c r="F45" s="13"/>
      <c r="G45" s="13">
        <v>1</v>
      </c>
      <c r="H45" s="13"/>
      <c r="I45" s="71"/>
      <c r="J45" s="71"/>
      <c r="K45" s="71"/>
      <c r="L45" s="71"/>
      <c r="M45" s="71"/>
      <c r="N45" s="71"/>
      <c r="O45" s="71"/>
      <c r="P45" s="71"/>
      <c r="Q45" s="72">
        <v>1</v>
      </c>
    </row>
    <row r="46" spans="1:17" ht="29">
      <c r="A46" s="40" t="s">
        <v>2</v>
      </c>
      <c r="B46" s="122" t="s">
        <v>1401</v>
      </c>
      <c r="C46" s="127" t="s">
        <v>1285</v>
      </c>
      <c r="D46" s="129" t="s">
        <v>1402</v>
      </c>
      <c r="E46" s="13"/>
      <c r="F46" s="13"/>
      <c r="G46" s="13">
        <v>4</v>
      </c>
      <c r="H46" s="13"/>
      <c r="I46" s="71"/>
      <c r="J46" s="71"/>
      <c r="K46" s="71"/>
      <c r="L46" s="71"/>
      <c r="M46" s="71"/>
      <c r="N46" s="71"/>
      <c r="O46" s="71"/>
      <c r="P46" s="71"/>
      <c r="Q46" s="72">
        <v>4</v>
      </c>
    </row>
    <row r="47" spans="1:17" ht="29">
      <c r="A47" s="40" t="s">
        <v>2</v>
      </c>
      <c r="B47" s="122" t="s">
        <v>1401</v>
      </c>
      <c r="C47" s="127" t="s">
        <v>1333</v>
      </c>
      <c r="D47" s="129" t="s">
        <v>1402</v>
      </c>
      <c r="E47" s="13"/>
      <c r="F47" s="13"/>
      <c r="G47" s="13"/>
      <c r="H47" s="13">
        <v>1</v>
      </c>
      <c r="I47" s="71"/>
      <c r="J47" s="71"/>
      <c r="K47" s="71"/>
      <c r="L47" s="71"/>
      <c r="M47" s="71"/>
      <c r="N47" s="71"/>
      <c r="O47" s="71"/>
      <c r="P47" s="71"/>
      <c r="Q47" s="72">
        <v>1</v>
      </c>
    </row>
    <row r="48" spans="1:17" ht="29">
      <c r="A48" s="40" t="s">
        <v>2</v>
      </c>
      <c r="B48" s="122" t="s">
        <v>1401</v>
      </c>
      <c r="C48" s="127" t="s">
        <v>1333</v>
      </c>
      <c r="D48" s="129" t="s">
        <v>1402</v>
      </c>
      <c r="E48" s="13"/>
      <c r="F48" s="13"/>
      <c r="G48" s="13"/>
      <c r="H48" s="13">
        <v>1</v>
      </c>
      <c r="I48" s="71"/>
      <c r="J48" s="71"/>
      <c r="K48" s="71"/>
      <c r="L48" s="71"/>
      <c r="M48" s="71"/>
      <c r="N48" s="71"/>
      <c r="O48" s="71"/>
      <c r="P48" s="71"/>
      <c r="Q48" s="72">
        <v>1</v>
      </c>
    </row>
    <row r="49" spans="1:17" ht="29">
      <c r="A49" s="40" t="s">
        <v>1</v>
      </c>
      <c r="B49" s="69" t="s">
        <v>1284</v>
      </c>
      <c r="C49" s="40" t="s">
        <v>1285</v>
      </c>
      <c r="D49" s="70" t="s">
        <v>1286</v>
      </c>
      <c r="E49" s="40">
        <v>1</v>
      </c>
      <c r="F49" s="40"/>
      <c r="G49" s="40">
        <v>4</v>
      </c>
      <c r="H49" s="40">
        <v>1</v>
      </c>
      <c r="I49" s="71"/>
      <c r="J49" s="71"/>
      <c r="K49" s="71"/>
      <c r="L49" s="71"/>
      <c r="M49" s="71"/>
      <c r="N49" s="71"/>
      <c r="O49" s="71"/>
      <c r="P49" s="71"/>
      <c r="Q49" s="72">
        <v>6</v>
      </c>
    </row>
    <row r="50" spans="1:17" ht="43.5">
      <c r="A50" s="40" t="s">
        <v>1</v>
      </c>
      <c r="B50" s="69" t="s">
        <v>1287</v>
      </c>
      <c r="C50" s="40" t="s">
        <v>1288</v>
      </c>
      <c r="D50" s="70" t="s">
        <v>1289</v>
      </c>
      <c r="E50" s="40">
        <v>5</v>
      </c>
      <c r="F50" s="40">
        <v>3</v>
      </c>
      <c r="G50" s="40"/>
      <c r="H50" s="40">
        <v>2</v>
      </c>
      <c r="I50" s="71"/>
      <c r="J50" s="71"/>
      <c r="K50" s="71"/>
      <c r="L50" s="71"/>
      <c r="M50" s="71"/>
      <c r="N50" s="71"/>
      <c r="O50" s="71"/>
      <c r="P50" s="71"/>
      <c r="Q50" s="72">
        <v>10</v>
      </c>
    </row>
    <row r="51" spans="1:17" ht="43.5">
      <c r="A51" s="40" t="s">
        <v>1</v>
      </c>
      <c r="B51" s="69" t="s">
        <v>1290</v>
      </c>
      <c r="C51" s="40" t="s">
        <v>1288</v>
      </c>
      <c r="D51" s="70" t="s">
        <v>1291</v>
      </c>
      <c r="E51" s="40">
        <v>1</v>
      </c>
      <c r="F51" s="40"/>
      <c r="G51" s="40"/>
      <c r="H51" s="40"/>
      <c r="I51" s="71"/>
      <c r="J51" s="71"/>
      <c r="K51" s="71"/>
      <c r="L51" s="71"/>
      <c r="M51" s="71"/>
      <c r="N51" s="71"/>
      <c r="O51" s="71"/>
      <c r="P51" s="71"/>
      <c r="Q51" s="72">
        <v>1</v>
      </c>
    </row>
    <row r="52" spans="1:17" ht="29">
      <c r="A52" s="40" t="s">
        <v>1</v>
      </c>
      <c r="B52" s="69" t="s">
        <v>1292</v>
      </c>
      <c r="C52" s="40" t="s">
        <v>1288</v>
      </c>
      <c r="D52" s="70" t="s">
        <v>1293</v>
      </c>
      <c r="E52" s="40">
        <v>3</v>
      </c>
      <c r="F52" s="40">
        <v>2</v>
      </c>
      <c r="G52" s="40">
        <v>8</v>
      </c>
      <c r="H52" s="40">
        <v>8</v>
      </c>
      <c r="I52" s="71"/>
      <c r="J52" s="71"/>
      <c r="K52" s="71"/>
      <c r="L52" s="71"/>
      <c r="M52" s="71"/>
      <c r="N52" s="71"/>
      <c r="O52" s="71"/>
      <c r="P52" s="71"/>
      <c r="Q52" s="72">
        <v>21</v>
      </c>
    </row>
    <row r="53" spans="1:17" ht="29">
      <c r="A53" s="40" t="s">
        <v>1</v>
      </c>
      <c r="B53" s="69" t="s">
        <v>1294</v>
      </c>
      <c r="C53" s="40" t="s">
        <v>1285</v>
      </c>
      <c r="D53" s="70" t="s">
        <v>1286</v>
      </c>
      <c r="E53" s="40">
        <v>1</v>
      </c>
      <c r="F53" s="40">
        <v>4</v>
      </c>
      <c r="G53" s="40">
        <v>2</v>
      </c>
      <c r="H53" s="40">
        <v>6</v>
      </c>
      <c r="I53" s="71"/>
      <c r="J53" s="71"/>
      <c r="K53" s="71"/>
      <c r="L53" s="71"/>
      <c r="M53" s="71"/>
      <c r="N53" s="71"/>
      <c r="O53" s="71"/>
      <c r="P53" s="71"/>
      <c r="Q53" s="72">
        <v>13</v>
      </c>
    </row>
    <row r="54" spans="1:17" ht="43.5">
      <c r="A54" s="40" t="s">
        <v>1</v>
      </c>
      <c r="B54" s="69" t="s">
        <v>1295</v>
      </c>
      <c r="C54" s="40" t="s">
        <v>1288</v>
      </c>
      <c r="D54" s="70" t="s">
        <v>1289</v>
      </c>
      <c r="E54" s="40">
        <v>1</v>
      </c>
      <c r="F54" s="40"/>
      <c r="G54" s="40">
        <v>4</v>
      </c>
      <c r="H54" s="40">
        <v>1</v>
      </c>
      <c r="I54" s="71"/>
      <c r="J54" s="71"/>
      <c r="K54" s="71"/>
      <c r="L54" s="71"/>
      <c r="M54" s="71"/>
      <c r="N54" s="71"/>
      <c r="O54" s="71"/>
      <c r="P54" s="71"/>
      <c r="Q54" s="72">
        <v>6</v>
      </c>
    </row>
    <row r="55" spans="1:17" ht="43.5">
      <c r="A55" s="40" t="s">
        <v>1</v>
      </c>
      <c r="B55" s="69" t="s">
        <v>1296</v>
      </c>
      <c r="C55" s="40" t="s">
        <v>1288</v>
      </c>
      <c r="D55" s="70" t="s">
        <v>1291</v>
      </c>
      <c r="E55" s="40">
        <v>5</v>
      </c>
      <c r="F55" s="40">
        <v>8</v>
      </c>
      <c r="G55" s="40"/>
      <c r="H55" s="40"/>
      <c r="I55" s="71"/>
      <c r="J55" s="71"/>
      <c r="K55" s="71"/>
      <c r="L55" s="71"/>
      <c r="M55" s="71"/>
      <c r="N55" s="71"/>
      <c r="O55" s="71"/>
      <c r="P55" s="71"/>
      <c r="Q55" s="72">
        <v>13</v>
      </c>
    </row>
    <row r="56" spans="1:17" ht="43.5">
      <c r="A56" s="40" t="s">
        <v>1</v>
      </c>
      <c r="B56" s="69" t="s">
        <v>1297</v>
      </c>
      <c r="C56" s="40" t="s">
        <v>1298</v>
      </c>
      <c r="D56" s="70" t="s">
        <v>1299</v>
      </c>
      <c r="E56" s="40">
        <v>1</v>
      </c>
      <c r="F56" s="40"/>
      <c r="G56" s="40">
        <v>1</v>
      </c>
      <c r="H56" s="40">
        <v>1</v>
      </c>
      <c r="I56" s="71"/>
      <c r="J56" s="71"/>
      <c r="K56" s="71"/>
      <c r="L56" s="71"/>
      <c r="M56" s="71"/>
      <c r="N56" s="71"/>
      <c r="O56" s="71"/>
      <c r="P56" s="71"/>
      <c r="Q56" s="72">
        <v>3</v>
      </c>
    </row>
    <row r="57" spans="1:17">
      <c r="A57" s="40" t="s">
        <v>4</v>
      </c>
      <c r="B57" s="13" t="s">
        <v>1524</v>
      </c>
      <c r="C57" s="13" t="s">
        <v>1288</v>
      </c>
      <c r="D57" s="174"/>
      <c r="E57" s="42">
        <v>2</v>
      </c>
      <c r="F57" s="42">
        <v>0</v>
      </c>
      <c r="G57" s="42">
        <v>1</v>
      </c>
      <c r="H57" s="42">
        <v>5</v>
      </c>
      <c r="I57" s="175">
        <v>1</v>
      </c>
      <c r="J57" s="175">
        <v>0</v>
      </c>
      <c r="K57" s="175">
        <v>0</v>
      </c>
      <c r="L57" s="175">
        <v>0</v>
      </c>
      <c r="M57" s="175">
        <v>0</v>
      </c>
      <c r="N57" s="175">
        <v>0</v>
      </c>
      <c r="O57" s="175">
        <v>0</v>
      </c>
      <c r="P57" s="175">
        <v>0</v>
      </c>
      <c r="Q57" s="72">
        <v>9</v>
      </c>
    </row>
    <row r="58" spans="1:17">
      <c r="A58" s="40" t="s">
        <v>4</v>
      </c>
      <c r="B58" s="13" t="s">
        <v>1524</v>
      </c>
      <c r="C58" s="13" t="s">
        <v>1285</v>
      </c>
      <c r="D58" s="174"/>
      <c r="E58" s="42">
        <v>5</v>
      </c>
      <c r="F58" s="42">
        <v>1</v>
      </c>
      <c r="G58" s="42">
        <v>1</v>
      </c>
      <c r="H58" s="42">
        <v>1</v>
      </c>
      <c r="I58" s="175">
        <v>1</v>
      </c>
      <c r="J58" s="175">
        <v>0</v>
      </c>
      <c r="K58" s="175">
        <v>0</v>
      </c>
      <c r="L58" s="175">
        <v>0</v>
      </c>
      <c r="M58" s="175">
        <v>0</v>
      </c>
      <c r="N58" s="175">
        <v>0</v>
      </c>
      <c r="O58" s="175">
        <v>0</v>
      </c>
      <c r="P58" s="175">
        <v>0</v>
      </c>
      <c r="Q58" s="72">
        <v>9</v>
      </c>
    </row>
    <row r="59" spans="1:17">
      <c r="A59" s="40" t="s">
        <v>4</v>
      </c>
      <c r="B59" s="13" t="s">
        <v>1524</v>
      </c>
      <c r="C59" s="13" t="s">
        <v>1298</v>
      </c>
      <c r="D59" s="174"/>
      <c r="E59" s="42">
        <v>10</v>
      </c>
      <c r="F59" s="42">
        <v>10</v>
      </c>
      <c r="G59" s="42">
        <v>11</v>
      </c>
      <c r="H59" s="42">
        <v>27</v>
      </c>
      <c r="I59" s="175">
        <v>13</v>
      </c>
      <c r="J59" s="175">
        <v>3</v>
      </c>
      <c r="K59" s="175">
        <v>0</v>
      </c>
      <c r="L59" s="175">
        <v>0</v>
      </c>
      <c r="M59" s="175">
        <v>0</v>
      </c>
      <c r="N59" s="175">
        <v>0</v>
      </c>
      <c r="O59" s="175">
        <v>0</v>
      </c>
      <c r="P59" s="175">
        <v>0</v>
      </c>
      <c r="Q59" s="72">
        <v>74</v>
      </c>
    </row>
    <row r="60" spans="1:17">
      <c r="A60" s="40" t="s">
        <v>4</v>
      </c>
      <c r="B60" s="13" t="s">
        <v>1525</v>
      </c>
      <c r="C60" s="13" t="s">
        <v>1285</v>
      </c>
      <c r="D60" s="174"/>
      <c r="E60" s="42">
        <v>4</v>
      </c>
      <c r="F60" s="42">
        <v>5</v>
      </c>
      <c r="G60" s="42">
        <v>0</v>
      </c>
      <c r="H60" s="42">
        <v>0</v>
      </c>
      <c r="I60" s="175">
        <v>0</v>
      </c>
      <c r="J60" s="175">
        <v>0</v>
      </c>
      <c r="K60" s="175">
        <v>0</v>
      </c>
      <c r="L60" s="175">
        <v>0</v>
      </c>
      <c r="M60" s="175">
        <v>0</v>
      </c>
      <c r="N60" s="175">
        <v>0</v>
      </c>
      <c r="O60" s="175">
        <v>0</v>
      </c>
      <c r="P60" s="175">
        <v>0</v>
      </c>
      <c r="Q60" s="72">
        <v>9</v>
      </c>
    </row>
    <row r="61" spans="1:17">
      <c r="A61" s="40" t="s">
        <v>4</v>
      </c>
      <c r="B61" s="13" t="s">
        <v>1416</v>
      </c>
      <c r="C61" s="13" t="s">
        <v>1285</v>
      </c>
      <c r="D61" s="174"/>
      <c r="E61" s="42">
        <v>1</v>
      </c>
      <c r="F61" s="42">
        <v>0</v>
      </c>
      <c r="G61" s="42">
        <v>1</v>
      </c>
      <c r="H61" s="42">
        <v>0</v>
      </c>
      <c r="I61" s="175">
        <v>1</v>
      </c>
      <c r="J61" s="175">
        <v>0</v>
      </c>
      <c r="K61" s="175">
        <v>0</v>
      </c>
      <c r="L61" s="175">
        <v>0</v>
      </c>
      <c r="M61" s="175">
        <v>0</v>
      </c>
      <c r="N61" s="175">
        <v>0</v>
      </c>
      <c r="O61" s="175">
        <v>0</v>
      </c>
      <c r="P61" s="175">
        <v>0</v>
      </c>
      <c r="Q61" s="72">
        <v>3</v>
      </c>
    </row>
    <row r="62" spans="1:17">
      <c r="A62" s="40" t="s">
        <v>4</v>
      </c>
      <c r="B62" s="13" t="s">
        <v>1399</v>
      </c>
      <c r="C62" s="13" t="s">
        <v>1288</v>
      </c>
      <c r="D62" s="174"/>
      <c r="E62" s="42">
        <v>1</v>
      </c>
      <c r="F62" s="42">
        <v>0</v>
      </c>
      <c r="G62" s="42">
        <v>0</v>
      </c>
      <c r="H62" s="42">
        <v>0</v>
      </c>
      <c r="I62" s="175">
        <v>0</v>
      </c>
      <c r="J62" s="175">
        <v>0</v>
      </c>
      <c r="K62" s="175">
        <v>0</v>
      </c>
      <c r="L62" s="175">
        <v>0</v>
      </c>
      <c r="M62" s="175">
        <v>0</v>
      </c>
      <c r="N62" s="175">
        <v>0</v>
      </c>
      <c r="O62" s="175">
        <v>0</v>
      </c>
      <c r="P62" s="175">
        <v>0</v>
      </c>
      <c r="Q62" s="72">
        <v>1</v>
      </c>
    </row>
    <row r="63" spans="1:17">
      <c r="A63" s="40" t="s">
        <v>4</v>
      </c>
      <c r="B63" s="13" t="s">
        <v>1403</v>
      </c>
      <c r="C63" s="13" t="s">
        <v>1288</v>
      </c>
      <c r="D63" s="174"/>
      <c r="E63" s="42">
        <v>1</v>
      </c>
      <c r="F63" s="42">
        <v>0</v>
      </c>
      <c r="G63" s="42">
        <v>0</v>
      </c>
      <c r="H63" s="42">
        <v>0</v>
      </c>
      <c r="I63" s="175">
        <v>0</v>
      </c>
      <c r="J63" s="175">
        <v>0</v>
      </c>
      <c r="K63" s="175">
        <v>0</v>
      </c>
      <c r="L63" s="175">
        <v>0</v>
      </c>
      <c r="M63" s="175">
        <v>0</v>
      </c>
      <c r="N63" s="175">
        <v>0</v>
      </c>
      <c r="O63" s="175">
        <v>0</v>
      </c>
      <c r="P63" s="175">
        <v>0</v>
      </c>
      <c r="Q63" s="72">
        <v>1</v>
      </c>
    </row>
    <row r="64" spans="1:17">
      <c r="A64" s="40" t="s">
        <v>4</v>
      </c>
      <c r="B64" s="13" t="s">
        <v>1418</v>
      </c>
      <c r="C64" s="13" t="s">
        <v>1298</v>
      </c>
      <c r="D64" s="174"/>
      <c r="E64" s="42">
        <v>1</v>
      </c>
      <c r="F64" s="42">
        <v>2</v>
      </c>
      <c r="G64" s="42">
        <v>0</v>
      </c>
      <c r="H64" s="42">
        <v>8</v>
      </c>
      <c r="I64" s="42">
        <v>5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72">
        <v>16</v>
      </c>
    </row>
    <row r="65" spans="1:17">
      <c r="A65" s="40" t="s">
        <v>4</v>
      </c>
      <c r="B65" s="13" t="s">
        <v>1525</v>
      </c>
      <c r="C65" s="13" t="s">
        <v>1298</v>
      </c>
      <c r="D65" s="174"/>
      <c r="E65" s="42">
        <v>10</v>
      </c>
      <c r="F65" s="42">
        <v>16</v>
      </c>
      <c r="G65" s="42">
        <v>12</v>
      </c>
      <c r="H65" s="42">
        <v>10</v>
      </c>
      <c r="I65" s="42">
        <v>6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72">
        <v>54</v>
      </c>
    </row>
    <row r="66" spans="1:17">
      <c r="A66" s="40" t="s">
        <v>4</v>
      </c>
      <c r="B66" s="13" t="s">
        <v>1401</v>
      </c>
      <c r="C66" s="13" t="s">
        <v>1298</v>
      </c>
      <c r="D66" s="174"/>
      <c r="E66" s="42">
        <v>2</v>
      </c>
      <c r="F66" s="42">
        <v>0</v>
      </c>
      <c r="G66" s="42">
        <v>0</v>
      </c>
      <c r="H66" s="42">
        <v>1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72">
        <v>3</v>
      </c>
    </row>
    <row r="67" spans="1:17">
      <c r="A67" s="40" t="s">
        <v>4</v>
      </c>
      <c r="B67" s="13" t="s">
        <v>1525</v>
      </c>
      <c r="C67" s="13" t="s">
        <v>1288</v>
      </c>
      <c r="D67" s="174"/>
      <c r="E67" s="42">
        <v>14</v>
      </c>
      <c r="F67" s="42">
        <v>13</v>
      </c>
      <c r="G67" s="42">
        <v>2</v>
      </c>
      <c r="H67" s="42">
        <v>3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72">
        <v>32</v>
      </c>
    </row>
    <row r="68" spans="1:17">
      <c r="A68" s="40" t="s">
        <v>4</v>
      </c>
      <c r="B68" s="13" t="s">
        <v>1416</v>
      </c>
      <c r="C68" s="13" t="s">
        <v>1298</v>
      </c>
      <c r="D68" s="174"/>
      <c r="E68" s="42">
        <v>2</v>
      </c>
      <c r="F68" s="42">
        <v>1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72">
        <v>3</v>
      </c>
    </row>
    <row r="69" spans="1:17">
      <c r="A69" s="40" t="s">
        <v>4</v>
      </c>
      <c r="B69" s="13" t="s">
        <v>1408</v>
      </c>
      <c r="C69" s="13" t="s">
        <v>1288</v>
      </c>
      <c r="D69" s="174"/>
      <c r="E69" s="42">
        <v>7</v>
      </c>
      <c r="F69" s="42">
        <v>10</v>
      </c>
      <c r="G69" s="42">
        <v>4</v>
      </c>
      <c r="H69" s="42">
        <v>9</v>
      </c>
      <c r="I69" s="42">
        <v>7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72">
        <v>37</v>
      </c>
    </row>
    <row r="70" spans="1:17">
      <c r="A70" s="40" t="s">
        <v>4</v>
      </c>
      <c r="B70" s="13" t="s">
        <v>1526</v>
      </c>
      <c r="C70" s="13" t="s">
        <v>1298</v>
      </c>
      <c r="D70" s="174"/>
      <c r="E70" s="42">
        <v>1</v>
      </c>
      <c r="F70" s="42">
        <v>1</v>
      </c>
      <c r="G70" s="42">
        <v>0</v>
      </c>
      <c r="H70" s="42">
        <v>1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72">
        <v>3</v>
      </c>
    </row>
    <row r="71" spans="1:17">
      <c r="A71" s="40" t="s">
        <v>4</v>
      </c>
      <c r="B71" s="13" t="s">
        <v>1408</v>
      </c>
      <c r="C71" s="13" t="s">
        <v>1298</v>
      </c>
      <c r="D71" s="174"/>
      <c r="E71" s="42">
        <v>2</v>
      </c>
      <c r="F71" s="42">
        <v>4</v>
      </c>
      <c r="G71" s="42">
        <v>17</v>
      </c>
      <c r="H71" s="42">
        <v>42</v>
      </c>
      <c r="I71" s="42">
        <v>67</v>
      </c>
      <c r="J71" s="42">
        <v>8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72">
        <v>140</v>
      </c>
    </row>
    <row r="72" spans="1:17">
      <c r="A72" s="40" t="s">
        <v>4</v>
      </c>
      <c r="B72" s="13" t="s">
        <v>1404</v>
      </c>
      <c r="C72" s="13" t="s">
        <v>1298</v>
      </c>
      <c r="D72" s="174"/>
      <c r="E72" s="42">
        <v>2</v>
      </c>
      <c r="F72" s="42">
        <v>0</v>
      </c>
      <c r="G72" s="42">
        <v>0</v>
      </c>
      <c r="H72" s="42">
        <v>3</v>
      </c>
      <c r="I72" s="42">
        <v>1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72">
        <v>6</v>
      </c>
    </row>
    <row r="73" spans="1:17">
      <c r="A73" s="40" t="s">
        <v>4</v>
      </c>
      <c r="B73" s="13" t="s">
        <v>1418</v>
      </c>
      <c r="C73" s="13" t="s">
        <v>1288</v>
      </c>
      <c r="D73" s="174"/>
      <c r="E73" s="42">
        <v>1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72">
        <v>1</v>
      </c>
    </row>
    <row r="74" spans="1:17">
      <c r="A74" s="40" t="s">
        <v>4</v>
      </c>
      <c r="B74" s="13" t="s">
        <v>1412</v>
      </c>
      <c r="C74" s="13" t="s">
        <v>1298</v>
      </c>
      <c r="D74" s="174"/>
      <c r="E74" s="42">
        <v>0</v>
      </c>
      <c r="F74" s="42">
        <v>2</v>
      </c>
      <c r="G74" s="42">
        <v>1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72">
        <v>3</v>
      </c>
    </row>
    <row r="75" spans="1:17">
      <c r="A75" s="40" t="s">
        <v>4</v>
      </c>
      <c r="B75" s="13" t="s">
        <v>1406</v>
      </c>
      <c r="C75" s="13" t="s">
        <v>1285</v>
      </c>
      <c r="D75" s="174"/>
      <c r="E75" s="42">
        <v>0</v>
      </c>
      <c r="F75" s="42">
        <v>1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72">
        <v>1</v>
      </c>
    </row>
    <row r="76" spans="1:17">
      <c r="A76" s="40" t="s">
        <v>4</v>
      </c>
      <c r="B76" s="13" t="s">
        <v>1527</v>
      </c>
      <c r="C76" s="13" t="s">
        <v>1285</v>
      </c>
      <c r="D76" s="174"/>
      <c r="E76" s="42">
        <v>0</v>
      </c>
      <c r="F76" s="42">
        <v>1</v>
      </c>
      <c r="G76" s="42">
        <v>5</v>
      </c>
      <c r="H76" s="42">
        <v>1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72">
        <v>7</v>
      </c>
    </row>
    <row r="77" spans="1:17">
      <c r="A77" s="40" t="s">
        <v>4</v>
      </c>
      <c r="B77" s="13" t="s">
        <v>1408</v>
      </c>
      <c r="C77" s="13" t="s">
        <v>1285</v>
      </c>
      <c r="D77" s="174"/>
      <c r="E77" s="42">
        <v>0</v>
      </c>
      <c r="F77" s="42">
        <v>2</v>
      </c>
      <c r="G77" s="42">
        <v>0</v>
      </c>
      <c r="H77" s="42">
        <v>1</v>
      </c>
      <c r="I77" s="42">
        <v>2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72">
        <v>5</v>
      </c>
    </row>
    <row r="78" spans="1:17">
      <c r="A78" s="40" t="s">
        <v>4</v>
      </c>
      <c r="B78" s="13" t="s">
        <v>1527</v>
      </c>
      <c r="C78" s="13" t="s">
        <v>1298</v>
      </c>
      <c r="D78" s="174"/>
      <c r="E78" s="42">
        <v>0</v>
      </c>
      <c r="F78" s="42">
        <v>1</v>
      </c>
      <c r="G78" s="42">
        <v>0</v>
      </c>
      <c r="H78" s="42">
        <v>3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72">
        <v>4</v>
      </c>
    </row>
    <row r="79" spans="1:17">
      <c r="A79" s="40" t="s">
        <v>4</v>
      </c>
      <c r="B79" s="13" t="s">
        <v>1397</v>
      </c>
      <c r="C79" s="13" t="s">
        <v>1285</v>
      </c>
      <c r="D79" s="174"/>
      <c r="E79" s="42">
        <v>0</v>
      </c>
      <c r="F79" s="42">
        <v>1</v>
      </c>
      <c r="G79" s="42">
        <v>1</v>
      </c>
      <c r="H79" s="42">
        <v>0</v>
      </c>
      <c r="I79" s="42">
        <v>0</v>
      </c>
      <c r="J79" s="42">
        <v>0</v>
      </c>
      <c r="K79" s="42">
        <v>1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72">
        <v>3</v>
      </c>
    </row>
    <row r="80" spans="1:17">
      <c r="A80" s="40" t="s">
        <v>4</v>
      </c>
      <c r="B80" s="13" t="s">
        <v>1528</v>
      </c>
      <c r="C80" s="13" t="s">
        <v>1298</v>
      </c>
      <c r="D80" s="174"/>
      <c r="E80" s="42">
        <v>0</v>
      </c>
      <c r="F80" s="42">
        <v>3</v>
      </c>
      <c r="G80" s="42">
        <v>1</v>
      </c>
      <c r="H80" s="42">
        <v>1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72">
        <v>5</v>
      </c>
    </row>
    <row r="81" spans="1:17">
      <c r="A81" s="40" t="s">
        <v>4</v>
      </c>
      <c r="B81" s="13" t="s">
        <v>1404</v>
      </c>
      <c r="C81" s="13" t="s">
        <v>1285</v>
      </c>
      <c r="D81" s="174"/>
      <c r="E81" s="42">
        <v>0</v>
      </c>
      <c r="F81" s="42">
        <v>1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72">
        <v>1</v>
      </c>
    </row>
    <row r="82" spans="1:17">
      <c r="A82" s="40" t="s">
        <v>4</v>
      </c>
      <c r="B82" s="13" t="s">
        <v>1529</v>
      </c>
      <c r="C82" s="13" t="s">
        <v>1298</v>
      </c>
      <c r="D82" s="174"/>
      <c r="E82" s="42">
        <v>0</v>
      </c>
      <c r="F82" s="42">
        <v>1</v>
      </c>
      <c r="G82" s="42">
        <v>0</v>
      </c>
      <c r="H82" s="42">
        <v>1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72">
        <v>2</v>
      </c>
    </row>
    <row r="83" spans="1:17">
      <c r="A83" s="40" t="s">
        <v>4</v>
      </c>
      <c r="B83" s="13" t="s">
        <v>1397</v>
      </c>
      <c r="C83" s="13" t="s">
        <v>1298</v>
      </c>
      <c r="D83" s="174"/>
      <c r="E83" s="42">
        <v>0</v>
      </c>
      <c r="F83" s="42">
        <v>0</v>
      </c>
      <c r="G83" s="42">
        <v>2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72">
        <v>2</v>
      </c>
    </row>
    <row r="84" spans="1:17">
      <c r="A84" s="40" t="s">
        <v>4</v>
      </c>
      <c r="B84" s="13" t="s">
        <v>1397</v>
      </c>
      <c r="C84" s="13" t="s">
        <v>1288</v>
      </c>
      <c r="D84" s="174"/>
      <c r="E84" s="42">
        <v>4</v>
      </c>
      <c r="F84" s="42">
        <v>0</v>
      </c>
      <c r="G84" s="42">
        <v>1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72">
        <v>5</v>
      </c>
    </row>
    <row r="85" spans="1:17">
      <c r="A85" s="40" t="s">
        <v>4</v>
      </c>
      <c r="B85" s="13" t="s">
        <v>1410</v>
      </c>
      <c r="C85" s="13" t="s">
        <v>1288</v>
      </c>
      <c r="D85" s="174"/>
      <c r="E85" s="42">
        <v>0</v>
      </c>
      <c r="F85" s="42">
        <v>0</v>
      </c>
      <c r="G85" s="42">
        <v>1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72">
        <v>1</v>
      </c>
    </row>
    <row r="86" spans="1:17">
      <c r="A86" s="40" t="s">
        <v>4</v>
      </c>
      <c r="B86" s="13" t="s">
        <v>1403</v>
      </c>
      <c r="C86" s="13" t="s">
        <v>1298</v>
      </c>
      <c r="D86" s="174"/>
      <c r="E86" s="42">
        <v>0</v>
      </c>
      <c r="F86" s="42">
        <v>0</v>
      </c>
      <c r="G86" s="42">
        <v>1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72">
        <v>1</v>
      </c>
    </row>
    <row r="87" spans="1:17">
      <c r="A87" s="40" t="s">
        <v>4</v>
      </c>
      <c r="B87" s="13" t="s">
        <v>1527</v>
      </c>
      <c r="C87" s="13" t="s">
        <v>1333</v>
      </c>
      <c r="D87" s="174"/>
      <c r="E87" s="42">
        <v>0</v>
      </c>
      <c r="F87" s="42">
        <v>0</v>
      </c>
      <c r="G87" s="42">
        <v>2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72">
        <v>2</v>
      </c>
    </row>
    <row r="88" spans="1:17">
      <c r="A88" s="40" t="s">
        <v>4</v>
      </c>
      <c r="B88" s="13" t="s">
        <v>1410</v>
      </c>
      <c r="C88" s="13" t="s">
        <v>1298</v>
      </c>
      <c r="D88" s="174"/>
      <c r="E88" s="42">
        <v>0</v>
      </c>
      <c r="F88" s="42">
        <v>0</v>
      </c>
      <c r="G88" s="42">
        <v>1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72">
        <v>1</v>
      </c>
    </row>
    <row r="89" spans="1:17">
      <c r="A89" s="40" t="s">
        <v>4</v>
      </c>
      <c r="B89" s="13" t="s">
        <v>1403</v>
      </c>
      <c r="C89" s="13" t="s">
        <v>1285</v>
      </c>
      <c r="D89" s="174"/>
      <c r="E89" s="42">
        <v>0</v>
      </c>
      <c r="F89" s="42">
        <v>0</v>
      </c>
      <c r="G89" s="42">
        <v>1</v>
      </c>
      <c r="H89" s="42">
        <v>6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72">
        <v>7</v>
      </c>
    </row>
    <row r="90" spans="1:17">
      <c r="A90" s="40" t="s">
        <v>4</v>
      </c>
      <c r="B90" s="13" t="s">
        <v>1529</v>
      </c>
      <c r="C90" s="13" t="s">
        <v>1285</v>
      </c>
      <c r="D90" s="174"/>
      <c r="E90" s="42">
        <v>0</v>
      </c>
      <c r="F90" s="42">
        <v>0</v>
      </c>
      <c r="G90" s="42">
        <v>1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72">
        <v>1</v>
      </c>
    </row>
    <row r="91" spans="1:17">
      <c r="A91" s="40" t="s">
        <v>4</v>
      </c>
      <c r="B91" s="13" t="s">
        <v>1418</v>
      </c>
      <c r="C91" s="13" t="s">
        <v>1285</v>
      </c>
      <c r="D91" s="174"/>
      <c r="E91" s="42">
        <v>0</v>
      </c>
      <c r="F91" s="42">
        <v>0</v>
      </c>
      <c r="G91" s="42">
        <v>0</v>
      </c>
      <c r="H91" s="42">
        <v>1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72">
        <v>1</v>
      </c>
    </row>
    <row r="92" spans="1:17">
      <c r="A92" s="40" t="s">
        <v>4</v>
      </c>
      <c r="B92" s="13" t="s">
        <v>1410</v>
      </c>
      <c r="C92" s="13" t="s">
        <v>1285</v>
      </c>
      <c r="D92" s="174"/>
      <c r="E92" s="42">
        <v>0</v>
      </c>
      <c r="F92" s="42">
        <v>0</v>
      </c>
      <c r="G92" s="42">
        <v>0</v>
      </c>
      <c r="H92" s="42">
        <v>1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72">
        <v>1</v>
      </c>
    </row>
    <row r="93" spans="1:17">
      <c r="A93" s="40" t="s">
        <v>4</v>
      </c>
      <c r="B93" s="13" t="s">
        <v>1526</v>
      </c>
      <c r="C93" s="13" t="s">
        <v>1285</v>
      </c>
      <c r="D93" s="174"/>
      <c r="E93" s="42">
        <v>0</v>
      </c>
      <c r="F93" s="42">
        <v>0</v>
      </c>
      <c r="G93" s="42">
        <v>0</v>
      </c>
      <c r="H93" s="42">
        <v>2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72">
        <v>2</v>
      </c>
    </row>
    <row r="94" spans="1:17">
      <c r="A94" s="40" t="s">
        <v>4</v>
      </c>
      <c r="B94" s="13" t="s">
        <v>1401</v>
      </c>
      <c r="C94" s="13" t="s">
        <v>1285</v>
      </c>
      <c r="D94" s="174"/>
      <c r="E94" s="42">
        <v>0</v>
      </c>
      <c r="F94" s="42">
        <v>0</v>
      </c>
      <c r="G94" s="42">
        <v>0</v>
      </c>
      <c r="H94" s="42">
        <v>1</v>
      </c>
      <c r="I94" s="42">
        <v>1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72">
        <v>2</v>
      </c>
    </row>
    <row r="95" spans="1:17">
      <c r="A95" s="40" t="s">
        <v>4</v>
      </c>
      <c r="B95" s="13" t="s">
        <v>1399</v>
      </c>
      <c r="C95" s="13" t="s">
        <v>1298</v>
      </c>
      <c r="D95" s="174"/>
      <c r="E95" s="42">
        <v>0</v>
      </c>
      <c r="F95" s="42">
        <v>0</v>
      </c>
      <c r="G95" s="42">
        <v>0</v>
      </c>
      <c r="H95" s="42">
        <v>0</v>
      </c>
      <c r="I95" s="42">
        <v>2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72">
        <v>2</v>
      </c>
    </row>
    <row r="96" spans="1:17">
      <c r="A96" s="40" t="s">
        <v>4</v>
      </c>
      <c r="B96" s="13" t="s">
        <v>1530</v>
      </c>
      <c r="C96" s="13" t="s">
        <v>1298</v>
      </c>
      <c r="D96" s="174"/>
      <c r="E96" s="42">
        <v>13</v>
      </c>
      <c r="F96" s="42">
        <v>5</v>
      </c>
      <c r="G96" s="42">
        <v>4</v>
      </c>
      <c r="H96" s="42">
        <v>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72">
        <v>26</v>
      </c>
    </row>
    <row r="97" spans="1:17">
      <c r="A97" s="40" t="s">
        <v>4</v>
      </c>
      <c r="B97" s="13" t="s">
        <v>1531</v>
      </c>
      <c r="C97" s="13" t="s">
        <v>1285</v>
      </c>
      <c r="D97" s="174"/>
      <c r="E97" s="42">
        <v>6</v>
      </c>
      <c r="F97" s="42">
        <v>1</v>
      </c>
      <c r="G97" s="42">
        <v>4</v>
      </c>
      <c r="H97" s="42">
        <v>3</v>
      </c>
      <c r="I97" s="42">
        <v>2</v>
      </c>
      <c r="J97" s="42">
        <v>1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72">
        <v>17</v>
      </c>
    </row>
    <row r="98" spans="1:17">
      <c r="A98" s="40" t="s">
        <v>4</v>
      </c>
      <c r="B98" s="13" t="s">
        <v>1532</v>
      </c>
      <c r="C98" s="13" t="s">
        <v>1288</v>
      </c>
      <c r="D98" s="174"/>
      <c r="E98" s="42">
        <v>2</v>
      </c>
      <c r="F98" s="42">
        <v>9</v>
      </c>
      <c r="G98" s="42">
        <v>12</v>
      </c>
      <c r="H98" s="42">
        <v>4</v>
      </c>
      <c r="I98" s="42">
        <v>0</v>
      </c>
      <c r="J98" s="42">
        <v>0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72">
        <v>27</v>
      </c>
    </row>
    <row r="99" spans="1:17">
      <c r="A99" s="40" t="s">
        <v>4</v>
      </c>
      <c r="B99" s="13" t="s">
        <v>1530</v>
      </c>
      <c r="C99" s="13" t="s">
        <v>1285</v>
      </c>
      <c r="D99" s="174"/>
      <c r="E99" s="42">
        <v>2</v>
      </c>
      <c r="F99" s="42">
        <v>1</v>
      </c>
      <c r="G99" s="42">
        <v>1</v>
      </c>
      <c r="H99" s="42">
        <v>0</v>
      </c>
      <c r="I99" s="42">
        <v>12</v>
      </c>
      <c r="J99" s="42">
        <v>1</v>
      </c>
      <c r="K99" s="42">
        <v>0</v>
      </c>
      <c r="L99" s="42">
        <v>0</v>
      </c>
      <c r="M99" s="42">
        <v>0</v>
      </c>
      <c r="N99" s="42">
        <v>0</v>
      </c>
      <c r="O99" s="42">
        <v>0</v>
      </c>
      <c r="P99" s="42">
        <v>0</v>
      </c>
      <c r="Q99" s="72">
        <v>17</v>
      </c>
    </row>
    <row r="100" spans="1:17">
      <c r="A100" s="40" t="s">
        <v>4</v>
      </c>
      <c r="B100" s="13" t="s">
        <v>1533</v>
      </c>
      <c r="C100" s="13" t="s">
        <v>1285</v>
      </c>
      <c r="D100" s="174"/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O100" s="42">
        <v>0</v>
      </c>
      <c r="P100" s="42">
        <v>0</v>
      </c>
      <c r="Q100" s="72">
        <v>0</v>
      </c>
    </row>
    <row r="101" spans="1:17">
      <c r="A101" s="40" t="s">
        <v>4</v>
      </c>
      <c r="B101" s="13" t="s">
        <v>1300</v>
      </c>
      <c r="C101" s="13" t="s">
        <v>1285</v>
      </c>
      <c r="D101" s="174"/>
      <c r="E101" s="42">
        <v>1</v>
      </c>
      <c r="F101" s="42">
        <v>2</v>
      </c>
      <c r="G101" s="42">
        <v>4</v>
      </c>
      <c r="H101" s="42">
        <v>2</v>
      </c>
      <c r="I101" s="42">
        <v>2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72">
        <v>11</v>
      </c>
    </row>
    <row r="102" spans="1:17">
      <c r="A102" s="40" t="s">
        <v>4</v>
      </c>
      <c r="B102" s="13" t="s">
        <v>1534</v>
      </c>
      <c r="C102" s="13" t="s">
        <v>1288</v>
      </c>
      <c r="D102" s="174"/>
      <c r="E102" s="42">
        <v>39</v>
      </c>
      <c r="F102" s="42">
        <v>19</v>
      </c>
      <c r="G102" s="42">
        <v>17</v>
      </c>
      <c r="H102" s="42">
        <v>19</v>
      </c>
      <c r="I102" s="42">
        <v>2</v>
      </c>
      <c r="J102" s="42">
        <v>0</v>
      </c>
      <c r="K102" s="42">
        <v>0</v>
      </c>
      <c r="L102" s="42">
        <v>0</v>
      </c>
      <c r="M102" s="42">
        <v>0</v>
      </c>
      <c r="N102" s="42">
        <v>0</v>
      </c>
      <c r="O102" s="42">
        <v>0</v>
      </c>
      <c r="P102" s="42">
        <v>0</v>
      </c>
      <c r="Q102" s="72">
        <v>96</v>
      </c>
    </row>
    <row r="103" spans="1:17">
      <c r="A103" s="40" t="s">
        <v>4</v>
      </c>
      <c r="B103" s="13" t="s">
        <v>1287</v>
      </c>
      <c r="C103" s="13" t="s">
        <v>1288</v>
      </c>
      <c r="D103" s="174"/>
      <c r="E103" s="42">
        <v>1</v>
      </c>
      <c r="F103" s="42">
        <v>0</v>
      </c>
      <c r="G103" s="42">
        <v>1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72">
        <v>2</v>
      </c>
    </row>
    <row r="104" spans="1:17">
      <c r="A104" s="40" t="s">
        <v>4</v>
      </c>
      <c r="B104" s="13" t="s">
        <v>1532</v>
      </c>
      <c r="C104" s="13" t="s">
        <v>1285</v>
      </c>
      <c r="D104" s="174"/>
      <c r="E104" s="42">
        <v>43</v>
      </c>
      <c r="F104" s="42">
        <v>57</v>
      </c>
      <c r="G104" s="42">
        <v>37</v>
      </c>
      <c r="H104" s="42">
        <v>26</v>
      </c>
      <c r="I104" s="42">
        <v>48</v>
      </c>
      <c r="J104" s="42">
        <v>1</v>
      </c>
      <c r="K104" s="42">
        <v>0</v>
      </c>
      <c r="L104" s="42">
        <v>0</v>
      </c>
      <c r="M104" s="42">
        <v>0</v>
      </c>
      <c r="N104" s="42">
        <v>0</v>
      </c>
      <c r="O104" s="42">
        <v>0</v>
      </c>
      <c r="P104" s="42">
        <v>0</v>
      </c>
      <c r="Q104" s="72">
        <v>212</v>
      </c>
    </row>
    <row r="105" spans="1:17">
      <c r="A105" s="40" t="s">
        <v>4</v>
      </c>
      <c r="B105" s="13" t="s">
        <v>1535</v>
      </c>
      <c r="C105" s="13" t="s">
        <v>1285</v>
      </c>
      <c r="D105" s="174"/>
      <c r="E105" s="42">
        <v>1</v>
      </c>
      <c r="F105" s="42">
        <v>0</v>
      </c>
      <c r="G105" s="42">
        <v>1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72">
        <v>2</v>
      </c>
    </row>
    <row r="106" spans="1:17">
      <c r="A106" s="40" t="s">
        <v>4</v>
      </c>
      <c r="B106" s="13" t="s">
        <v>1534</v>
      </c>
      <c r="C106" s="13" t="s">
        <v>1285</v>
      </c>
      <c r="D106" s="174"/>
      <c r="E106" s="42">
        <v>1</v>
      </c>
      <c r="F106" s="42">
        <v>0</v>
      </c>
      <c r="G106" s="42">
        <v>0</v>
      </c>
      <c r="H106" s="42">
        <v>2</v>
      </c>
      <c r="I106" s="42">
        <v>8</v>
      </c>
      <c r="J106" s="42">
        <v>1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72">
        <v>12</v>
      </c>
    </row>
    <row r="107" spans="1:17">
      <c r="A107" s="40" t="s">
        <v>4</v>
      </c>
      <c r="B107" s="13" t="s">
        <v>1287</v>
      </c>
      <c r="C107" s="13" t="s">
        <v>1285</v>
      </c>
      <c r="D107" s="174"/>
      <c r="E107" s="42">
        <v>2</v>
      </c>
      <c r="F107" s="42">
        <v>0</v>
      </c>
      <c r="G107" s="42">
        <v>0</v>
      </c>
      <c r="H107" s="42">
        <v>1</v>
      </c>
      <c r="I107" s="42">
        <v>0</v>
      </c>
      <c r="J107" s="42">
        <v>0</v>
      </c>
      <c r="K107" s="42">
        <v>0</v>
      </c>
      <c r="L107" s="42">
        <v>0</v>
      </c>
      <c r="M107" s="42">
        <v>0</v>
      </c>
      <c r="N107" s="42">
        <v>0</v>
      </c>
      <c r="O107" s="42">
        <v>0</v>
      </c>
      <c r="P107" s="42">
        <v>0</v>
      </c>
      <c r="Q107" s="72">
        <v>3</v>
      </c>
    </row>
    <row r="108" spans="1:17">
      <c r="A108" s="40" t="s">
        <v>4</v>
      </c>
      <c r="B108" s="13" t="s">
        <v>1534</v>
      </c>
      <c r="C108" s="13" t="s">
        <v>1298</v>
      </c>
      <c r="D108" s="174"/>
      <c r="E108" s="42">
        <v>98</v>
      </c>
      <c r="F108" s="42">
        <v>78</v>
      </c>
      <c r="G108" s="42">
        <v>72</v>
      </c>
      <c r="H108" s="42">
        <v>86</v>
      </c>
      <c r="I108" s="42">
        <v>84</v>
      </c>
      <c r="J108" s="42">
        <v>7</v>
      </c>
      <c r="K108" s="42">
        <v>0</v>
      </c>
      <c r="L108" s="42">
        <v>0</v>
      </c>
      <c r="M108" s="42">
        <v>0</v>
      </c>
      <c r="N108" s="42">
        <v>0</v>
      </c>
      <c r="O108" s="42">
        <v>0</v>
      </c>
      <c r="P108" s="42">
        <v>0</v>
      </c>
      <c r="Q108" s="72">
        <v>425</v>
      </c>
    </row>
    <row r="109" spans="1:17">
      <c r="A109" s="40" t="s">
        <v>4</v>
      </c>
      <c r="B109" s="13" t="s">
        <v>1294</v>
      </c>
      <c r="C109" s="13" t="s">
        <v>1333</v>
      </c>
      <c r="D109" s="174"/>
      <c r="E109" s="42">
        <v>1</v>
      </c>
      <c r="F109" s="42">
        <v>1</v>
      </c>
      <c r="G109" s="42">
        <v>0</v>
      </c>
      <c r="H109" s="42">
        <v>0</v>
      </c>
      <c r="I109" s="42">
        <v>0</v>
      </c>
      <c r="J109" s="42">
        <v>0</v>
      </c>
      <c r="K109" s="42">
        <v>0</v>
      </c>
      <c r="L109" s="42">
        <v>0</v>
      </c>
      <c r="M109" s="42">
        <v>0</v>
      </c>
      <c r="N109" s="42">
        <v>0</v>
      </c>
      <c r="O109" s="42">
        <v>0</v>
      </c>
      <c r="P109" s="42">
        <v>0</v>
      </c>
      <c r="Q109" s="72">
        <v>2</v>
      </c>
    </row>
    <row r="110" spans="1:17">
      <c r="A110" s="40" t="s">
        <v>4</v>
      </c>
      <c r="B110" s="13" t="s">
        <v>1301</v>
      </c>
      <c r="C110" s="13" t="s">
        <v>1288</v>
      </c>
      <c r="D110" s="174"/>
      <c r="E110" s="42">
        <v>1</v>
      </c>
      <c r="F110" s="42">
        <v>1</v>
      </c>
      <c r="G110" s="42">
        <v>1</v>
      </c>
      <c r="H110" s="42">
        <v>0</v>
      </c>
      <c r="I110" s="42">
        <v>0</v>
      </c>
      <c r="J110" s="42">
        <v>0</v>
      </c>
      <c r="K110" s="42">
        <v>0</v>
      </c>
      <c r="L110" s="42">
        <v>0</v>
      </c>
      <c r="M110" s="42">
        <v>0</v>
      </c>
      <c r="N110" s="42">
        <v>0</v>
      </c>
      <c r="O110" s="42">
        <v>0</v>
      </c>
      <c r="P110" s="42">
        <v>0</v>
      </c>
      <c r="Q110" s="72">
        <v>3</v>
      </c>
    </row>
    <row r="111" spans="1:17">
      <c r="A111" s="40" t="s">
        <v>4</v>
      </c>
      <c r="B111" s="13" t="s">
        <v>1302</v>
      </c>
      <c r="C111" s="13" t="s">
        <v>1285</v>
      </c>
      <c r="D111" s="174"/>
      <c r="E111" s="42">
        <v>0</v>
      </c>
      <c r="F111" s="42">
        <v>4</v>
      </c>
      <c r="G111" s="42">
        <v>2</v>
      </c>
      <c r="H111" s="42">
        <v>1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72">
        <v>7</v>
      </c>
    </row>
    <row r="112" spans="1:17">
      <c r="A112" s="40" t="s">
        <v>4</v>
      </c>
      <c r="B112" s="13" t="s">
        <v>1536</v>
      </c>
      <c r="C112" s="13" t="s">
        <v>1298</v>
      </c>
      <c r="D112" s="174"/>
      <c r="E112" s="42">
        <v>0</v>
      </c>
      <c r="F112" s="42">
        <v>3</v>
      </c>
      <c r="G112" s="42">
        <v>0</v>
      </c>
      <c r="H112" s="42">
        <v>0</v>
      </c>
      <c r="I112" s="42">
        <v>0</v>
      </c>
      <c r="J112" s="42">
        <v>0</v>
      </c>
      <c r="K112" s="42">
        <v>0</v>
      </c>
      <c r="L112" s="42">
        <v>0</v>
      </c>
      <c r="M112" s="42">
        <v>0</v>
      </c>
      <c r="N112" s="42">
        <v>0</v>
      </c>
      <c r="O112" s="42">
        <v>0</v>
      </c>
      <c r="P112" s="42">
        <v>0</v>
      </c>
      <c r="Q112" s="72">
        <v>3</v>
      </c>
    </row>
    <row r="113" spans="1:17">
      <c r="A113" s="40" t="s">
        <v>4</v>
      </c>
      <c r="B113" s="13" t="s">
        <v>1537</v>
      </c>
      <c r="C113" s="13" t="s">
        <v>1298</v>
      </c>
      <c r="D113" s="174"/>
      <c r="E113" s="42">
        <v>0</v>
      </c>
      <c r="F113" s="42">
        <v>1</v>
      </c>
      <c r="G113" s="42">
        <v>0</v>
      </c>
      <c r="H113" s="42">
        <v>0</v>
      </c>
      <c r="I113" s="42">
        <v>0</v>
      </c>
      <c r="J113" s="42">
        <v>0</v>
      </c>
      <c r="K113" s="42">
        <v>0</v>
      </c>
      <c r="L113" s="42">
        <v>0</v>
      </c>
      <c r="M113" s="42">
        <v>0</v>
      </c>
      <c r="N113" s="42">
        <v>0</v>
      </c>
      <c r="O113" s="42">
        <v>0</v>
      </c>
      <c r="P113" s="42">
        <v>0</v>
      </c>
      <c r="Q113" s="72">
        <v>1</v>
      </c>
    </row>
    <row r="114" spans="1:17">
      <c r="A114" s="40" t="s">
        <v>4</v>
      </c>
      <c r="B114" s="13" t="s">
        <v>1538</v>
      </c>
      <c r="C114" s="13" t="s">
        <v>1333</v>
      </c>
      <c r="D114" s="174"/>
      <c r="E114" s="42">
        <v>0</v>
      </c>
      <c r="F114" s="42">
        <v>1</v>
      </c>
      <c r="G114" s="42">
        <v>0</v>
      </c>
      <c r="H114" s="42">
        <v>0</v>
      </c>
      <c r="I114" s="42">
        <v>0</v>
      </c>
      <c r="J114" s="42">
        <v>0</v>
      </c>
      <c r="K114" s="42">
        <v>0</v>
      </c>
      <c r="L114" s="42">
        <v>0</v>
      </c>
      <c r="M114" s="42">
        <v>0</v>
      </c>
      <c r="N114" s="42">
        <v>0</v>
      </c>
      <c r="O114" s="42">
        <v>0</v>
      </c>
      <c r="P114" s="42">
        <v>0</v>
      </c>
      <c r="Q114" s="72">
        <v>1</v>
      </c>
    </row>
    <row r="115" spans="1:17">
      <c r="A115" s="40" t="s">
        <v>4</v>
      </c>
      <c r="B115" s="13" t="s">
        <v>1284</v>
      </c>
      <c r="C115" s="13" t="s">
        <v>1285</v>
      </c>
      <c r="D115" s="174"/>
      <c r="E115" s="42">
        <v>1</v>
      </c>
      <c r="F115" s="42">
        <v>5</v>
      </c>
      <c r="G115" s="42">
        <v>0</v>
      </c>
      <c r="H115" s="42">
        <v>2</v>
      </c>
      <c r="I115" s="42">
        <v>1</v>
      </c>
      <c r="J115" s="42">
        <v>0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72">
        <v>9</v>
      </c>
    </row>
    <row r="116" spans="1:17">
      <c r="A116" s="40" t="s">
        <v>4</v>
      </c>
      <c r="B116" s="13" t="s">
        <v>1300</v>
      </c>
      <c r="C116" s="13" t="s">
        <v>1333</v>
      </c>
      <c r="D116" s="174"/>
      <c r="E116" s="42">
        <v>0</v>
      </c>
      <c r="F116" s="42">
        <v>1</v>
      </c>
      <c r="G116" s="42">
        <v>0</v>
      </c>
      <c r="H116" s="42">
        <v>0</v>
      </c>
      <c r="I116" s="42">
        <v>0</v>
      </c>
      <c r="J116" s="42">
        <v>0</v>
      </c>
      <c r="K116" s="42">
        <v>0</v>
      </c>
      <c r="L116" s="42">
        <v>0</v>
      </c>
      <c r="M116" s="42">
        <v>0</v>
      </c>
      <c r="N116" s="42">
        <v>0</v>
      </c>
      <c r="O116" s="42">
        <v>0</v>
      </c>
      <c r="P116" s="42">
        <v>0</v>
      </c>
      <c r="Q116" s="72">
        <v>1</v>
      </c>
    </row>
    <row r="117" spans="1:17">
      <c r="A117" s="40" t="s">
        <v>4</v>
      </c>
      <c r="B117" s="13" t="s">
        <v>1284</v>
      </c>
      <c r="C117" s="13" t="s">
        <v>1333</v>
      </c>
      <c r="D117" s="174"/>
      <c r="E117" s="42">
        <v>1</v>
      </c>
      <c r="F117" s="42">
        <v>1</v>
      </c>
      <c r="G117" s="42">
        <v>0</v>
      </c>
      <c r="H117" s="42">
        <v>0</v>
      </c>
      <c r="I117" s="42">
        <v>0</v>
      </c>
      <c r="J117" s="42">
        <v>0</v>
      </c>
      <c r="K117" s="42">
        <v>0</v>
      </c>
      <c r="L117" s="42">
        <v>0</v>
      </c>
      <c r="M117" s="42">
        <v>0</v>
      </c>
      <c r="N117" s="42">
        <v>0</v>
      </c>
      <c r="O117" s="42">
        <v>0</v>
      </c>
      <c r="P117" s="42">
        <v>0</v>
      </c>
      <c r="Q117" s="72">
        <v>2</v>
      </c>
    </row>
    <row r="118" spans="1:17">
      <c r="A118" s="40" t="s">
        <v>4</v>
      </c>
      <c r="B118" s="13" t="s">
        <v>1294</v>
      </c>
      <c r="C118" s="13" t="s">
        <v>1285</v>
      </c>
      <c r="D118" s="174"/>
      <c r="E118" s="42">
        <v>0</v>
      </c>
      <c r="F118" s="42">
        <v>0</v>
      </c>
      <c r="G118" s="42">
        <v>2</v>
      </c>
      <c r="H118" s="42">
        <v>0</v>
      </c>
      <c r="I118" s="42">
        <v>18</v>
      </c>
      <c r="J118" s="42">
        <v>0</v>
      </c>
      <c r="K118" s="42">
        <v>0</v>
      </c>
      <c r="L118" s="42">
        <v>0</v>
      </c>
      <c r="M118" s="42">
        <v>0</v>
      </c>
      <c r="N118" s="42">
        <v>0</v>
      </c>
      <c r="O118" s="42">
        <v>0</v>
      </c>
      <c r="P118" s="42">
        <v>0</v>
      </c>
      <c r="Q118" s="72">
        <v>20</v>
      </c>
    </row>
    <row r="119" spans="1:17">
      <c r="A119" s="40" t="s">
        <v>4</v>
      </c>
      <c r="B119" s="13" t="s">
        <v>1539</v>
      </c>
      <c r="C119" s="13" t="s">
        <v>1298</v>
      </c>
      <c r="D119" s="174"/>
      <c r="E119" s="42">
        <v>0</v>
      </c>
      <c r="F119" s="42">
        <v>0</v>
      </c>
      <c r="G119" s="42">
        <v>1</v>
      </c>
      <c r="H119" s="42">
        <v>0</v>
      </c>
      <c r="I119" s="42">
        <v>0</v>
      </c>
      <c r="J119" s="42">
        <v>0</v>
      </c>
      <c r="K119" s="42">
        <v>0</v>
      </c>
      <c r="L119" s="42">
        <v>0</v>
      </c>
      <c r="M119" s="42">
        <v>0</v>
      </c>
      <c r="N119" s="42">
        <v>0</v>
      </c>
      <c r="O119" s="42">
        <v>0</v>
      </c>
      <c r="P119" s="42">
        <v>0</v>
      </c>
      <c r="Q119" s="72">
        <v>1</v>
      </c>
    </row>
    <row r="120" spans="1:17">
      <c r="A120" s="40" t="s">
        <v>4</v>
      </c>
      <c r="B120" s="13" t="s">
        <v>1540</v>
      </c>
      <c r="C120" s="13" t="s">
        <v>1288</v>
      </c>
      <c r="D120" s="174"/>
      <c r="E120" s="42">
        <v>0</v>
      </c>
      <c r="F120" s="42">
        <v>0</v>
      </c>
      <c r="G120" s="42">
        <v>11</v>
      </c>
      <c r="H120" s="42">
        <v>0</v>
      </c>
      <c r="I120" s="42">
        <v>0</v>
      </c>
      <c r="J120" s="42">
        <v>0</v>
      </c>
      <c r="K120" s="42">
        <v>0</v>
      </c>
      <c r="L120" s="42">
        <v>0</v>
      </c>
      <c r="M120" s="42">
        <v>0</v>
      </c>
      <c r="N120" s="42">
        <v>0</v>
      </c>
      <c r="O120" s="42">
        <v>0</v>
      </c>
      <c r="P120" s="42">
        <v>0</v>
      </c>
      <c r="Q120" s="72">
        <v>11</v>
      </c>
    </row>
    <row r="121" spans="1:17">
      <c r="A121" s="40" t="s">
        <v>4</v>
      </c>
      <c r="B121" s="13" t="s">
        <v>1539</v>
      </c>
      <c r="C121" s="13" t="s">
        <v>1333</v>
      </c>
      <c r="D121" s="174"/>
      <c r="E121" s="42">
        <v>0</v>
      </c>
      <c r="F121" s="42">
        <v>0</v>
      </c>
      <c r="G121" s="42">
        <v>1</v>
      </c>
      <c r="H121" s="42">
        <v>0</v>
      </c>
      <c r="I121" s="42">
        <v>0</v>
      </c>
      <c r="J121" s="42">
        <v>0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0</v>
      </c>
      <c r="Q121" s="72">
        <v>1</v>
      </c>
    </row>
    <row r="122" spans="1:17">
      <c r="A122" s="40" t="s">
        <v>4</v>
      </c>
      <c r="B122" s="13" t="s">
        <v>1295</v>
      </c>
      <c r="C122" s="13" t="s">
        <v>1288</v>
      </c>
      <c r="D122" s="174"/>
      <c r="E122" s="42">
        <v>0</v>
      </c>
      <c r="F122" s="42">
        <v>0</v>
      </c>
      <c r="G122" s="42">
        <v>58</v>
      </c>
      <c r="H122" s="42">
        <v>86</v>
      </c>
      <c r="I122" s="42">
        <v>0</v>
      </c>
      <c r="J122" s="42">
        <v>0</v>
      </c>
      <c r="K122" s="42">
        <v>0</v>
      </c>
      <c r="L122" s="42">
        <v>0</v>
      </c>
      <c r="M122" s="42">
        <v>0</v>
      </c>
      <c r="N122" s="42">
        <v>0</v>
      </c>
      <c r="O122" s="42">
        <v>0</v>
      </c>
      <c r="P122" s="42">
        <v>0</v>
      </c>
      <c r="Q122" s="72">
        <v>144</v>
      </c>
    </row>
    <row r="123" spans="1:17">
      <c r="A123" s="40" t="s">
        <v>4</v>
      </c>
      <c r="B123" s="13" t="s">
        <v>1295</v>
      </c>
      <c r="C123" s="13" t="s">
        <v>1298</v>
      </c>
      <c r="D123" s="174"/>
      <c r="E123" s="42">
        <v>0</v>
      </c>
      <c r="F123" s="42">
        <v>0</v>
      </c>
      <c r="G123" s="42">
        <v>4</v>
      </c>
      <c r="H123" s="42">
        <v>0</v>
      </c>
      <c r="I123" s="42">
        <v>0</v>
      </c>
      <c r="J123" s="42">
        <v>0</v>
      </c>
      <c r="K123" s="42">
        <v>0</v>
      </c>
      <c r="L123" s="42">
        <v>0</v>
      </c>
      <c r="M123" s="42">
        <v>0</v>
      </c>
      <c r="N123" s="42">
        <v>0</v>
      </c>
      <c r="O123" s="42">
        <v>0</v>
      </c>
      <c r="P123" s="42">
        <v>0</v>
      </c>
      <c r="Q123" s="72">
        <v>4</v>
      </c>
    </row>
    <row r="124" spans="1:17">
      <c r="A124" s="40" t="s">
        <v>4</v>
      </c>
      <c r="B124" s="13" t="s">
        <v>1295</v>
      </c>
      <c r="C124" s="13" t="s">
        <v>1285</v>
      </c>
      <c r="D124" s="174"/>
      <c r="E124" s="42">
        <v>0</v>
      </c>
      <c r="F124" s="42">
        <v>0</v>
      </c>
      <c r="G124" s="42">
        <v>1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72">
        <v>1</v>
      </c>
    </row>
    <row r="125" spans="1:17">
      <c r="A125" s="40" t="s">
        <v>4</v>
      </c>
      <c r="B125" s="13" t="s">
        <v>1297</v>
      </c>
      <c r="C125" s="13" t="s">
        <v>1285</v>
      </c>
      <c r="D125" s="174"/>
      <c r="E125" s="42">
        <v>0</v>
      </c>
      <c r="F125" s="42">
        <v>0</v>
      </c>
      <c r="G125" s="42">
        <v>2</v>
      </c>
      <c r="H125" s="42">
        <v>3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42">
        <v>0</v>
      </c>
      <c r="Q125" s="72">
        <v>5</v>
      </c>
    </row>
    <row r="126" spans="1:17">
      <c r="A126" s="40" t="s">
        <v>4</v>
      </c>
      <c r="B126" s="13" t="s">
        <v>1294</v>
      </c>
      <c r="C126" s="13" t="s">
        <v>1288</v>
      </c>
      <c r="D126" s="174"/>
      <c r="E126" s="42">
        <v>0</v>
      </c>
      <c r="F126" s="42">
        <v>0</v>
      </c>
      <c r="G126" s="42">
        <v>0</v>
      </c>
      <c r="H126" s="42">
        <v>11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42">
        <v>0</v>
      </c>
      <c r="Q126" s="72">
        <v>11</v>
      </c>
    </row>
    <row r="127" spans="1:17">
      <c r="A127" s="40" t="s">
        <v>4</v>
      </c>
      <c r="B127" s="13" t="s">
        <v>1294</v>
      </c>
      <c r="C127" s="13" t="s">
        <v>1298</v>
      </c>
      <c r="D127" s="174"/>
      <c r="E127" s="42">
        <v>0</v>
      </c>
      <c r="F127" s="42">
        <v>0</v>
      </c>
      <c r="G127" s="42">
        <v>0</v>
      </c>
      <c r="H127" s="42">
        <v>1</v>
      </c>
      <c r="I127" s="42">
        <v>3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42">
        <v>0</v>
      </c>
      <c r="Q127" s="72">
        <v>4</v>
      </c>
    </row>
    <row r="128" spans="1:17">
      <c r="A128" s="40" t="s">
        <v>4</v>
      </c>
      <c r="B128" s="13" t="s">
        <v>1541</v>
      </c>
      <c r="C128" s="13" t="s">
        <v>1285</v>
      </c>
      <c r="D128" s="174"/>
      <c r="E128" s="42">
        <v>1</v>
      </c>
      <c r="F128" s="42">
        <v>0</v>
      </c>
      <c r="G128" s="42">
        <v>0</v>
      </c>
      <c r="H128" s="42">
        <v>2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42">
        <v>0</v>
      </c>
      <c r="Q128" s="72">
        <v>3</v>
      </c>
    </row>
    <row r="129" spans="1:17">
      <c r="A129" s="40" t="s">
        <v>4</v>
      </c>
      <c r="B129" s="13" t="s">
        <v>1542</v>
      </c>
      <c r="C129" s="13" t="s">
        <v>1285</v>
      </c>
      <c r="D129" s="174"/>
      <c r="E129" s="42">
        <v>0</v>
      </c>
      <c r="F129" s="42">
        <v>0</v>
      </c>
      <c r="G129" s="42">
        <v>0</v>
      </c>
      <c r="H129" s="42">
        <v>2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42">
        <v>0</v>
      </c>
      <c r="Q129" s="72">
        <v>2</v>
      </c>
    </row>
    <row r="130" spans="1:17">
      <c r="A130" s="40" t="s">
        <v>4</v>
      </c>
      <c r="B130" s="13" t="s">
        <v>1543</v>
      </c>
      <c r="C130" s="13" t="s">
        <v>1298</v>
      </c>
      <c r="D130" s="174"/>
      <c r="E130" s="42">
        <v>0</v>
      </c>
      <c r="F130" s="42">
        <v>0</v>
      </c>
      <c r="G130" s="42">
        <v>0</v>
      </c>
      <c r="H130" s="42">
        <v>1</v>
      </c>
      <c r="I130" s="42">
        <v>0</v>
      </c>
      <c r="J130" s="42">
        <v>0</v>
      </c>
      <c r="K130" s="42">
        <v>0</v>
      </c>
      <c r="L130" s="42">
        <v>0</v>
      </c>
      <c r="M130" s="42">
        <v>0</v>
      </c>
      <c r="N130" s="42">
        <v>0</v>
      </c>
      <c r="O130" s="42">
        <v>0</v>
      </c>
      <c r="P130" s="42">
        <v>0</v>
      </c>
      <c r="Q130" s="72">
        <v>1</v>
      </c>
    </row>
    <row r="131" spans="1:17">
      <c r="A131" s="40" t="s">
        <v>4</v>
      </c>
      <c r="B131" s="13" t="s">
        <v>1539</v>
      </c>
      <c r="C131" s="13" t="s">
        <v>1285</v>
      </c>
      <c r="D131" s="174"/>
      <c r="E131" s="42">
        <v>0</v>
      </c>
      <c r="F131" s="42">
        <v>0</v>
      </c>
      <c r="G131" s="42">
        <v>0</v>
      </c>
      <c r="H131" s="42">
        <v>1</v>
      </c>
      <c r="I131" s="42">
        <v>0</v>
      </c>
      <c r="J131" s="42">
        <v>0</v>
      </c>
      <c r="K131" s="42">
        <v>0</v>
      </c>
      <c r="L131" s="42">
        <v>0</v>
      </c>
      <c r="M131" s="42">
        <v>0</v>
      </c>
      <c r="N131" s="42">
        <v>0</v>
      </c>
      <c r="O131" s="42">
        <v>0</v>
      </c>
      <c r="P131" s="42">
        <v>0</v>
      </c>
      <c r="Q131" s="72">
        <v>1</v>
      </c>
    </row>
    <row r="132" spans="1:17">
      <c r="A132" s="40" t="s">
        <v>4</v>
      </c>
      <c r="B132" s="13" t="s">
        <v>1544</v>
      </c>
      <c r="C132" s="13" t="s">
        <v>1285</v>
      </c>
      <c r="D132" s="174"/>
      <c r="E132" s="42">
        <v>0</v>
      </c>
      <c r="F132" s="42">
        <v>0</v>
      </c>
      <c r="G132" s="42">
        <v>0</v>
      </c>
      <c r="H132" s="42">
        <v>1</v>
      </c>
      <c r="I132" s="42">
        <v>0</v>
      </c>
      <c r="J132" s="42">
        <v>0</v>
      </c>
      <c r="K132" s="42">
        <v>0</v>
      </c>
      <c r="L132" s="42">
        <v>0</v>
      </c>
      <c r="M132" s="42">
        <v>0</v>
      </c>
      <c r="N132" s="42">
        <v>0</v>
      </c>
      <c r="O132" s="42">
        <v>0</v>
      </c>
      <c r="P132" s="42">
        <v>0</v>
      </c>
      <c r="Q132" s="72">
        <v>1</v>
      </c>
    </row>
    <row r="133" spans="1:17">
      <c r="A133" s="40" t="s">
        <v>4</v>
      </c>
      <c r="B133" s="13" t="s">
        <v>1540</v>
      </c>
      <c r="C133" s="13" t="s">
        <v>1285</v>
      </c>
      <c r="D133" s="174"/>
      <c r="E133" s="42">
        <v>0</v>
      </c>
      <c r="F133" s="42">
        <v>0</v>
      </c>
      <c r="G133" s="42">
        <v>0</v>
      </c>
      <c r="H133" s="42">
        <v>0</v>
      </c>
      <c r="I133" s="42">
        <v>2</v>
      </c>
      <c r="J133" s="42">
        <v>0</v>
      </c>
      <c r="K133" s="42">
        <v>0</v>
      </c>
      <c r="L133" s="42">
        <v>0</v>
      </c>
      <c r="M133" s="42">
        <v>0</v>
      </c>
      <c r="N133" s="42">
        <v>0</v>
      </c>
      <c r="O133" s="42">
        <v>0</v>
      </c>
      <c r="P133" s="42">
        <v>0</v>
      </c>
      <c r="Q133" s="72">
        <v>2</v>
      </c>
    </row>
    <row r="134" spans="1:17">
      <c r="A134" s="40" t="s">
        <v>4</v>
      </c>
      <c r="B134" s="13" t="s">
        <v>1545</v>
      </c>
      <c r="C134" s="13" t="s">
        <v>1298</v>
      </c>
      <c r="D134" s="174"/>
      <c r="E134" s="42">
        <v>0</v>
      </c>
      <c r="F134" s="42">
        <v>0</v>
      </c>
      <c r="G134" s="42">
        <v>0</v>
      </c>
      <c r="H134" s="42">
        <v>0</v>
      </c>
      <c r="I134" s="42">
        <v>5</v>
      </c>
      <c r="J134" s="42">
        <v>0</v>
      </c>
      <c r="K134" s="42">
        <v>0</v>
      </c>
      <c r="L134" s="42">
        <v>0</v>
      </c>
      <c r="M134" s="42">
        <v>0</v>
      </c>
      <c r="N134" s="42">
        <v>0</v>
      </c>
      <c r="O134" s="42">
        <v>0</v>
      </c>
      <c r="P134" s="42">
        <v>0</v>
      </c>
      <c r="Q134" s="72">
        <v>5</v>
      </c>
    </row>
    <row r="135" spans="1:17">
      <c r="A135" s="40" t="s">
        <v>4</v>
      </c>
      <c r="B135" s="13" t="s">
        <v>1546</v>
      </c>
      <c r="C135" s="13" t="s">
        <v>1285</v>
      </c>
      <c r="D135" s="174"/>
      <c r="E135" s="42">
        <v>0</v>
      </c>
      <c r="F135" s="42">
        <v>0</v>
      </c>
      <c r="G135" s="42">
        <v>0</v>
      </c>
      <c r="H135" s="42">
        <v>0</v>
      </c>
      <c r="I135" s="42">
        <v>0</v>
      </c>
      <c r="J135" s="42">
        <v>1</v>
      </c>
      <c r="K135" s="42">
        <v>0</v>
      </c>
      <c r="L135" s="42">
        <v>0</v>
      </c>
      <c r="M135" s="42">
        <v>0</v>
      </c>
      <c r="N135" s="42">
        <v>0</v>
      </c>
      <c r="O135" s="42">
        <v>0</v>
      </c>
      <c r="P135" s="42">
        <v>0</v>
      </c>
      <c r="Q135" s="72">
        <v>1</v>
      </c>
    </row>
    <row r="136" spans="1:17">
      <c r="A136" s="40" t="s">
        <v>4</v>
      </c>
      <c r="B136" s="13" t="s">
        <v>1301</v>
      </c>
      <c r="C136" s="13" t="s">
        <v>1285</v>
      </c>
      <c r="D136" s="174"/>
      <c r="E136" s="42">
        <v>0</v>
      </c>
      <c r="F136" s="42">
        <v>0</v>
      </c>
      <c r="G136" s="42">
        <v>0</v>
      </c>
      <c r="H136" s="42">
        <v>3</v>
      </c>
      <c r="I136" s="42">
        <v>2</v>
      </c>
      <c r="J136" s="42">
        <v>1</v>
      </c>
      <c r="K136" s="42">
        <v>0</v>
      </c>
      <c r="L136" s="42">
        <v>0</v>
      </c>
      <c r="M136" s="42">
        <v>0</v>
      </c>
      <c r="N136" s="42">
        <v>0</v>
      </c>
      <c r="O136" s="42">
        <v>0</v>
      </c>
      <c r="P136" s="42">
        <v>0</v>
      </c>
      <c r="Q136" s="72">
        <v>6</v>
      </c>
    </row>
    <row r="137" spans="1:17">
      <c r="A137" s="40" t="s">
        <v>4</v>
      </c>
      <c r="B137" s="13" t="s">
        <v>1544</v>
      </c>
      <c r="C137" s="13" t="s">
        <v>1298</v>
      </c>
      <c r="D137" s="174"/>
      <c r="E137" s="42">
        <v>0</v>
      </c>
      <c r="F137" s="42">
        <v>0</v>
      </c>
      <c r="G137" s="42">
        <v>0</v>
      </c>
      <c r="H137" s="42">
        <v>0</v>
      </c>
      <c r="I137" s="42">
        <v>30</v>
      </c>
      <c r="J137" s="42">
        <v>0</v>
      </c>
      <c r="K137" s="42">
        <v>0</v>
      </c>
      <c r="L137" s="42">
        <v>0</v>
      </c>
      <c r="M137" s="42">
        <v>0</v>
      </c>
      <c r="N137" s="42">
        <v>0</v>
      </c>
      <c r="O137" s="42">
        <v>0</v>
      </c>
      <c r="P137" s="42">
        <v>0</v>
      </c>
      <c r="Q137" s="72">
        <v>30</v>
      </c>
    </row>
    <row r="138" spans="1:17">
      <c r="A138" s="40" t="s">
        <v>4</v>
      </c>
      <c r="B138" s="13" t="s">
        <v>1547</v>
      </c>
      <c r="C138" s="13" t="s">
        <v>1285</v>
      </c>
      <c r="D138" s="174"/>
      <c r="E138" s="42">
        <v>1</v>
      </c>
      <c r="F138" s="42">
        <v>2</v>
      </c>
      <c r="G138" s="42">
        <v>1</v>
      </c>
      <c r="H138" s="42">
        <v>5</v>
      </c>
      <c r="I138" s="42">
        <v>2</v>
      </c>
      <c r="J138" s="42">
        <v>0</v>
      </c>
      <c r="K138" s="42">
        <v>0</v>
      </c>
      <c r="L138" s="42">
        <v>0</v>
      </c>
      <c r="M138" s="42">
        <v>0</v>
      </c>
      <c r="N138" s="42">
        <v>0</v>
      </c>
      <c r="O138" s="42">
        <v>0</v>
      </c>
      <c r="P138" s="42">
        <v>0</v>
      </c>
      <c r="Q138" s="72">
        <v>11</v>
      </c>
    </row>
    <row r="139" spans="1:17">
      <c r="A139" s="40" t="s">
        <v>4</v>
      </c>
      <c r="B139" s="13" t="s">
        <v>1296</v>
      </c>
      <c r="C139" s="13" t="s">
        <v>1285</v>
      </c>
      <c r="D139" s="174"/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72">
        <v>1</v>
      </c>
    </row>
    <row r="140" spans="1:17">
      <c r="A140" s="40" t="s">
        <v>4</v>
      </c>
      <c r="B140" s="13" t="s">
        <v>1548</v>
      </c>
      <c r="C140" s="13" t="s">
        <v>1285</v>
      </c>
      <c r="D140" s="174"/>
      <c r="E140" s="42">
        <v>0</v>
      </c>
      <c r="F140" s="42">
        <v>0</v>
      </c>
      <c r="G140" s="42">
        <v>0</v>
      </c>
      <c r="H140" s="42">
        <v>0</v>
      </c>
      <c r="I140" s="42">
        <v>2</v>
      </c>
      <c r="J140" s="42">
        <v>0</v>
      </c>
      <c r="K140" s="42">
        <v>0</v>
      </c>
      <c r="L140" s="42">
        <v>0</v>
      </c>
      <c r="M140" s="42">
        <v>0</v>
      </c>
      <c r="N140" s="42">
        <v>0</v>
      </c>
      <c r="O140" s="42">
        <v>0</v>
      </c>
      <c r="P140" s="42">
        <v>0</v>
      </c>
      <c r="Q140" s="72">
        <v>2</v>
      </c>
    </row>
    <row r="141" spans="1:17">
      <c r="A141" s="40" t="s">
        <v>4</v>
      </c>
      <c r="B141" s="13" t="s">
        <v>1532</v>
      </c>
      <c r="C141" s="13" t="s">
        <v>1298</v>
      </c>
      <c r="D141" s="174"/>
      <c r="E141" s="42">
        <v>0</v>
      </c>
      <c r="F141" s="42">
        <v>0</v>
      </c>
      <c r="G141" s="42">
        <v>0</v>
      </c>
      <c r="H141" s="42">
        <v>0</v>
      </c>
      <c r="I141" s="42">
        <v>2</v>
      </c>
      <c r="J141" s="42">
        <v>0</v>
      </c>
      <c r="K141" s="42">
        <v>0</v>
      </c>
      <c r="L141" s="42">
        <v>0</v>
      </c>
      <c r="M141" s="42">
        <v>0</v>
      </c>
      <c r="N141" s="42">
        <v>0</v>
      </c>
      <c r="O141" s="42">
        <v>0</v>
      </c>
      <c r="P141" s="42">
        <v>0</v>
      </c>
      <c r="Q141" s="72">
        <v>2</v>
      </c>
    </row>
    <row r="142" spans="1:17">
      <c r="A142" s="40" t="s">
        <v>4</v>
      </c>
      <c r="B142" s="13" t="s">
        <v>1548</v>
      </c>
      <c r="C142" s="13" t="s">
        <v>1298</v>
      </c>
      <c r="D142" s="174"/>
      <c r="E142" s="42">
        <v>6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42">
        <v>0</v>
      </c>
      <c r="L142" s="42">
        <v>0</v>
      </c>
      <c r="M142" s="42">
        <v>0</v>
      </c>
      <c r="N142" s="42">
        <v>0</v>
      </c>
      <c r="O142" s="42">
        <v>0</v>
      </c>
      <c r="P142" s="42">
        <v>0</v>
      </c>
      <c r="Q142" s="72">
        <v>6</v>
      </c>
    </row>
    <row r="143" spans="1:17">
      <c r="A143" s="40" t="s">
        <v>4</v>
      </c>
      <c r="B143" s="13" t="s">
        <v>1549</v>
      </c>
      <c r="C143" s="13" t="s">
        <v>1285</v>
      </c>
      <c r="D143" s="174"/>
      <c r="E143" s="42">
        <v>1</v>
      </c>
      <c r="F143" s="42">
        <v>1</v>
      </c>
      <c r="G143" s="42">
        <v>0</v>
      </c>
      <c r="H143" s="42">
        <v>7</v>
      </c>
      <c r="I143" s="42">
        <v>0</v>
      </c>
      <c r="J143" s="42">
        <v>0</v>
      </c>
      <c r="K143" s="42">
        <v>0</v>
      </c>
      <c r="L143" s="42">
        <v>0</v>
      </c>
      <c r="M143" s="42">
        <v>0</v>
      </c>
      <c r="N143" s="42">
        <v>0</v>
      </c>
      <c r="O143" s="42">
        <v>0</v>
      </c>
      <c r="P143" s="42">
        <v>0</v>
      </c>
      <c r="Q143" s="72">
        <v>9</v>
      </c>
    </row>
    <row r="144" spans="1:17">
      <c r="A144" s="40" t="s">
        <v>4</v>
      </c>
      <c r="B144" s="13" t="s">
        <v>1545</v>
      </c>
      <c r="C144" s="13" t="s">
        <v>1285</v>
      </c>
      <c r="D144" s="174"/>
      <c r="E144" s="42">
        <v>2</v>
      </c>
      <c r="F144" s="42">
        <v>2</v>
      </c>
      <c r="G144" s="42">
        <v>3</v>
      </c>
      <c r="H144" s="42">
        <v>6</v>
      </c>
      <c r="I144" s="42">
        <v>1</v>
      </c>
      <c r="J144" s="42">
        <v>0</v>
      </c>
      <c r="K144" s="42">
        <v>0</v>
      </c>
      <c r="L144" s="42">
        <v>0</v>
      </c>
      <c r="M144" s="42">
        <v>0</v>
      </c>
      <c r="N144" s="42">
        <v>0</v>
      </c>
      <c r="O144" s="42">
        <v>0</v>
      </c>
      <c r="P144" s="42">
        <v>0</v>
      </c>
      <c r="Q144" s="72">
        <v>14</v>
      </c>
    </row>
    <row r="145" spans="1:17">
      <c r="A145" s="40" t="s">
        <v>4</v>
      </c>
      <c r="B145" s="13" t="s">
        <v>1287</v>
      </c>
      <c r="C145" s="13" t="s">
        <v>1298</v>
      </c>
      <c r="D145" s="174"/>
      <c r="E145" s="42">
        <v>6</v>
      </c>
      <c r="F145" s="42">
        <v>2</v>
      </c>
      <c r="G145" s="42">
        <v>3</v>
      </c>
      <c r="H145" s="42">
        <v>3</v>
      </c>
      <c r="I145" s="42">
        <v>5</v>
      </c>
      <c r="J145" s="42">
        <v>0</v>
      </c>
      <c r="K145" s="42">
        <v>0</v>
      </c>
      <c r="L145" s="42">
        <v>0</v>
      </c>
      <c r="M145" s="42">
        <v>0</v>
      </c>
      <c r="N145" s="42">
        <v>0</v>
      </c>
      <c r="O145" s="42">
        <v>0</v>
      </c>
      <c r="P145" s="42">
        <v>0</v>
      </c>
      <c r="Q145" s="72">
        <v>19</v>
      </c>
    </row>
    <row r="146" spans="1:17">
      <c r="A146" s="40" t="s">
        <v>4</v>
      </c>
      <c r="B146" s="13" t="s">
        <v>1537</v>
      </c>
      <c r="C146" s="13" t="s">
        <v>1285</v>
      </c>
      <c r="D146" s="174"/>
      <c r="E146" s="42">
        <v>2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42">
        <v>0</v>
      </c>
      <c r="L146" s="42">
        <v>0</v>
      </c>
      <c r="M146" s="42">
        <v>0</v>
      </c>
      <c r="N146" s="42">
        <v>0</v>
      </c>
      <c r="O146" s="42">
        <v>0</v>
      </c>
      <c r="P146" s="42">
        <v>0</v>
      </c>
      <c r="Q146" s="72">
        <v>2</v>
      </c>
    </row>
    <row r="147" spans="1:17">
      <c r="A147" s="40" t="s">
        <v>4</v>
      </c>
      <c r="B147" s="13" t="s">
        <v>1541</v>
      </c>
      <c r="C147" s="76" t="s">
        <v>1298</v>
      </c>
      <c r="D147" s="76"/>
      <c r="E147" s="76">
        <v>2</v>
      </c>
      <c r="F147" s="76">
        <v>0</v>
      </c>
      <c r="G147" s="76">
        <v>0</v>
      </c>
      <c r="H147" s="76">
        <v>1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2">
        <v>3</v>
      </c>
    </row>
    <row r="148" spans="1:17">
      <c r="A148" s="40" t="s">
        <v>4</v>
      </c>
      <c r="B148" s="13" t="s">
        <v>1301</v>
      </c>
      <c r="C148" s="76" t="s">
        <v>1298</v>
      </c>
      <c r="D148" s="76"/>
      <c r="E148" s="76">
        <v>4</v>
      </c>
      <c r="F148" s="76">
        <v>0</v>
      </c>
      <c r="G148" s="76">
        <v>2</v>
      </c>
      <c r="H148" s="76">
        <v>6</v>
      </c>
      <c r="I148" s="76">
        <v>16</v>
      </c>
      <c r="J148" s="76">
        <v>0</v>
      </c>
      <c r="K148" s="76">
        <v>1</v>
      </c>
      <c r="L148" s="76">
        <v>0</v>
      </c>
      <c r="M148" s="76">
        <v>0</v>
      </c>
      <c r="N148" s="76">
        <v>0</v>
      </c>
      <c r="O148" s="76">
        <v>0</v>
      </c>
      <c r="P148" s="76">
        <v>0</v>
      </c>
      <c r="Q148" s="72">
        <v>29</v>
      </c>
    </row>
    <row r="149" spans="1:17">
      <c r="A149" s="40" t="s">
        <v>4</v>
      </c>
      <c r="B149" s="13" t="s">
        <v>1550</v>
      </c>
      <c r="C149" s="76"/>
      <c r="D149" s="76"/>
      <c r="E149" s="76">
        <v>0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2">
        <v>0</v>
      </c>
    </row>
    <row r="150" spans="1:17">
      <c r="A150" s="40" t="s">
        <v>4</v>
      </c>
      <c r="B150" s="13" t="s">
        <v>1551</v>
      </c>
      <c r="C150" s="76" t="s">
        <v>1298</v>
      </c>
      <c r="D150" s="76"/>
      <c r="E150" s="76">
        <v>19</v>
      </c>
      <c r="F150" s="76">
        <v>38</v>
      </c>
      <c r="G150" s="76">
        <v>2</v>
      </c>
      <c r="H150" s="76">
        <v>1</v>
      </c>
      <c r="I150" s="76">
        <v>0</v>
      </c>
      <c r="J150" s="76">
        <v>0</v>
      </c>
      <c r="K150" s="76">
        <v>0</v>
      </c>
      <c r="L150" s="76">
        <v>0</v>
      </c>
      <c r="M150" s="76">
        <v>0</v>
      </c>
      <c r="N150" s="76">
        <v>0</v>
      </c>
      <c r="O150" s="76">
        <v>0</v>
      </c>
      <c r="P150" s="76">
        <v>0</v>
      </c>
      <c r="Q150" s="72">
        <v>60</v>
      </c>
    </row>
    <row r="151" spans="1:17">
      <c r="A151" s="40" t="s">
        <v>4</v>
      </c>
      <c r="B151" s="13" t="s">
        <v>1552</v>
      </c>
      <c r="C151" s="76" t="s">
        <v>1285</v>
      </c>
      <c r="D151" s="76"/>
      <c r="E151" s="76">
        <v>1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2">
        <v>1</v>
      </c>
    </row>
    <row r="152" spans="1:17">
      <c r="A152" s="40" t="s">
        <v>4</v>
      </c>
      <c r="B152" s="13" t="s">
        <v>1553</v>
      </c>
      <c r="C152" s="76" t="s">
        <v>1298</v>
      </c>
      <c r="D152" s="76"/>
      <c r="E152" s="76">
        <v>1</v>
      </c>
      <c r="F152" s="76">
        <v>0</v>
      </c>
      <c r="G152" s="76">
        <v>0</v>
      </c>
      <c r="H152" s="76">
        <v>0</v>
      </c>
      <c r="I152" s="76">
        <v>0</v>
      </c>
      <c r="J152" s="76">
        <v>0</v>
      </c>
      <c r="K152" s="76">
        <v>0</v>
      </c>
      <c r="L152" s="76">
        <v>0</v>
      </c>
      <c r="M152" s="76">
        <v>0</v>
      </c>
      <c r="N152" s="76">
        <v>0</v>
      </c>
      <c r="O152" s="76">
        <v>0</v>
      </c>
      <c r="P152" s="76">
        <v>0</v>
      </c>
      <c r="Q152" s="72">
        <v>1</v>
      </c>
    </row>
    <row r="153" spans="1:17">
      <c r="A153" s="40" t="s">
        <v>4</v>
      </c>
      <c r="B153" s="13" t="s">
        <v>1551</v>
      </c>
      <c r="C153" s="76" t="s">
        <v>1285</v>
      </c>
      <c r="D153" s="76"/>
      <c r="E153" s="76">
        <v>1</v>
      </c>
      <c r="F153" s="76">
        <v>1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2">
        <v>2</v>
      </c>
    </row>
    <row r="154" spans="1:17">
      <c r="A154" s="40" t="s">
        <v>4</v>
      </c>
      <c r="B154" s="13" t="s">
        <v>1554</v>
      </c>
      <c r="C154" s="76" t="s">
        <v>1285</v>
      </c>
      <c r="D154" s="76"/>
      <c r="E154" s="76">
        <v>0</v>
      </c>
      <c r="F154" s="76">
        <v>1</v>
      </c>
      <c r="G154" s="76">
        <v>0</v>
      </c>
      <c r="H154" s="76">
        <v>0</v>
      </c>
      <c r="I154" s="76">
        <v>0</v>
      </c>
      <c r="J154" s="76">
        <v>0</v>
      </c>
      <c r="K154" s="76">
        <v>0</v>
      </c>
      <c r="L154" s="76">
        <v>0</v>
      </c>
      <c r="M154" s="76">
        <v>0</v>
      </c>
      <c r="N154" s="76">
        <v>0</v>
      </c>
      <c r="O154" s="76">
        <v>0</v>
      </c>
      <c r="P154" s="76">
        <v>0</v>
      </c>
      <c r="Q154" s="72">
        <v>1</v>
      </c>
    </row>
    <row r="155" spans="1:17">
      <c r="A155" s="40" t="s">
        <v>4</v>
      </c>
      <c r="B155" s="13" t="s">
        <v>1555</v>
      </c>
      <c r="C155" s="76" t="s">
        <v>1285</v>
      </c>
      <c r="D155" s="76"/>
      <c r="E155" s="76">
        <v>0</v>
      </c>
      <c r="F155" s="76">
        <v>1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2">
        <v>1</v>
      </c>
    </row>
    <row r="156" spans="1:17">
      <c r="A156" s="40" t="s">
        <v>4</v>
      </c>
      <c r="B156" s="13" t="s">
        <v>1556</v>
      </c>
      <c r="C156" s="76" t="s">
        <v>1298</v>
      </c>
      <c r="D156" s="76"/>
      <c r="E156" s="76">
        <v>0</v>
      </c>
      <c r="F156" s="76">
        <v>1</v>
      </c>
      <c r="G156" s="76">
        <v>0</v>
      </c>
      <c r="H156" s="76">
        <v>0</v>
      </c>
      <c r="I156" s="76">
        <v>0</v>
      </c>
      <c r="J156" s="76">
        <v>0</v>
      </c>
      <c r="K156" s="76">
        <v>0</v>
      </c>
      <c r="L156" s="76">
        <v>0</v>
      </c>
      <c r="M156" s="76">
        <v>0</v>
      </c>
      <c r="N156" s="76">
        <v>0</v>
      </c>
      <c r="O156" s="76">
        <v>0</v>
      </c>
      <c r="P156" s="76">
        <v>0</v>
      </c>
      <c r="Q156" s="72">
        <v>1</v>
      </c>
    </row>
    <row r="157" spans="1:17">
      <c r="A157" s="40" t="s">
        <v>4</v>
      </c>
      <c r="B157" s="13" t="s">
        <v>1557</v>
      </c>
      <c r="C157" s="76" t="s">
        <v>1285</v>
      </c>
      <c r="D157" s="76"/>
      <c r="E157" s="76">
        <v>0</v>
      </c>
      <c r="F157" s="76">
        <v>1</v>
      </c>
      <c r="G157" s="76">
        <v>0</v>
      </c>
      <c r="H157" s="76">
        <v>1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2">
        <v>2</v>
      </c>
    </row>
    <row r="158" spans="1:17">
      <c r="A158" s="40" t="s">
        <v>4</v>
      </c>
      <c r="B158" s="13" t="s">
        <v>1558</v>
      </c>
      <c r="C158" s="76" t="s">
        <v>1285</v>
      </c>
      <c r="D158" s="76"/>
      <c r="E158" s="76">
        <v>0</v>
      </c>
      <c r="F158" s="76">
        <v>1</v>
      </c>
      <c r="G158" s="76">
        <v>0</v>
      </c>
      <c r="H158" s="76">
        <v>0</v>
      </c>
      <c r="I158" s="76">
        <v>0</v>
      </c>
      <c r="J158" s="76">
        <v>0</v>
      </c>
      <c r="K158" s="76">
        <v>0</v>
      </c>
      <c r="L158" s="76">
        <v>0</v>
      </c>
      <c r="M158" s="76">
        <v>0</v>
      </c>
      <c r="N158" s="76">
        <v>0</v>
      </c>
      <c r="O158" s="76">
        <v>0</v>
      </c>
      <c r="P158" s="76">
        <v>0</v>
      </c>
      <c r="Q158" s="72">
        <v>1</v>
      </c>
    </row>
    <row r="159" spans="1:17">
      <c r="A159" s="40" t="s">
        <v>4</v>
      </c>
      <c r="B159" s="13" t="s">
        <v>1559</v>
      </c>
      <c r="C159" s="76" t="s">
        <v>1285</v>
      </c>
      <c r="D159" s="76"/>
      <c r="E159" s="76">
        <v>0</v>
      </c>
      <c r="F159" s="76">
        <v>1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2">
        <v>1</v>
      </c>
    </row>
    <row r="160" spans="1:17">
      <c r="A160" s="40" t="s">
        <v>4</v>
      </c>
      <c r="B160" s="13" t="s">
        <v>1560</v>
      </c>
      <c r="C160" s="76" t="s">
        <v>1285</v>
      </c>
      <c r="D160" s="76"/>
      <c r="E160" s="76">
        <v>0</v>
      </c>
      <c r="F160" s="76">
        <v>0</v>
      </c>
      <c r="G160" s="76">
        <v>1</v>
      </c>
      <c r="H160" s="76">
        <v>0</v>
      </c>
      <c r="I160" s="76">
        <v>0</v>
      </c>
      <c r="J160" s="76">
        <v>0</v>
      </c>
      <c r="K160" s="76">
        <v>0</v>
      </c>
      <c r="L160" s="76">
        <v>0</v>
      </c>
      <c r="M160" s="76">
        <v>0</v>
      </c>
      <c r="N160" s="76">
        <v>0</v>
      </c>
      <c r="O160" s="76">
        <v>0</v>
      </c>
      <c r="P160" s="76">
        <v>0</v>
      </c>
      <c r="Q160" s="72">
        <v>1</v>
      </c>
    </row>
    <row r="161" spans="1:17">
      <c r="A161" s="40" t="s">
        <v>4</v>
      </c>
      <c r="B161" s="13" t="s">
        <v>1561</v>
      </c>
      <c r="C161" s="76" t="s">
        <v>1285</v>
      </c>
      <c r="D161" s="76"/>
      <c r="E161" s="76">
        <v>0</v>
      </c>
      <c r="F161" s="76">
        <v>0</v>
      </c>
      <c r="G161" s="76">
        <v>1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2">
        <v>1</v>
      </c>
    </row>
    <row r="162" spans="1:17">
      <c r="A162" s="40" t="s">
        <v>4</v>
      </c>
      <c r="B162" s="13" t="s">
        <v>1562</v>
      </c>
      <c r="C162" s="76" t="s">
        <v>1285</v>
      </c>
      <c r="D162" s="76"/>
      <c r="E162" s="76">
        <v>0</v>
      </c>
      <c r="F162" s="76">
        <v>0</v>
      </c>
      <c r="G162" s="76">
        <v>3</v>
      </c>
      <c r="H162" s="76">
        <v>1</v>
      </c>
      <c r="I162" s="76">
        <v>0</v>
      </c>
      <c r="J162" s="76">
        <v>0</v>
      </c>
      <c r="K162" s="76">
        <v>0</v>
      </c>
      <c r="L162" s="76">
        <v>0</v>
      </c>
      <c r="M162" s="76">
        <v>0</v>
      </c>
      <c r="N162" s="76">
        <v>0</v>
      </c>
      <c r="O162" s="76">
        <v>0</v>
      </c>
      <c r="P162" s="76">
        <v>0</v>
      </c>
      <c r="Q162" s="72">
        <v>4</v>
      </c>
    </row>
    <row r="163" spans="1:17">
      <c r="A163" s="40" t="s">
        <v>4</v>
      </c>
      <c r="B163" s="13" t="s">
        <v>1563</v>
      </c>
      <c r="C163" s="76" t="s">
        <v>1285</v>
      </c>
      <c r="D163" s="76"/>
      <c r="E163" s="76">
        <v>0</v>
      </c>
      <c r="F163" s="76">
        <v>0</v>
      </c>
      <c r="G163" s="76">
        <v>2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2">
        <v>2</v>
      </c>
    </row>
    <row r="164" spans="1:17">
      <c r="A164" s="40" t="s">
        <v>4</v>
      </c>
      <c r="B164" s="13" t="s">
        <v>1564</v>
      </c>
      <c r="C164" s="76" t="s">
        <v>1285</v>
      </c>
      <c r="D164" s="76"/>
      <c r="E164" s="76">
        <v>0</v>
      </c>
      <c r="F164" s="76">
        <v>0</v>
      </c>
      <c r="G164" s="76">
        <v>8</v>
      </c>
      <c r="H164" s="76">
        <v>0</v>
      </c>
      <c r="I164" s="76">
        <v>0</v>
      </c>
      <c r="J164" s="76">
        <v>0</v>
      </c>
      <c r="K164" s="76">
        <v>0</v>
      </c>
      <c r="L164" s="76">
        <v>0</v>
      </c>
      <c r="M164" s="76">
        <v>0</v>
      </c>
      <c r="N164" s="76">
        <v>0</v>
      </c>
      <c r="O164" s="76">
        <v>0</v>
      </c>
      <c r="P164" s="76">
        <v>0</v>
      </c>
      <c r="Q164" s="72">
        <v>8</v>
      </c>
    </row>
    <row r="165" spans="1:17">
      <c r="A165" s="40" t="s">
        <v>4</v>
      </c>
      <c r="B165" s="13" t="s">
        <v>1565</v>
      </c>
      <c r="C165" s="76" t="s">
        <v>1285</v>
      </c>
      <c r="D165" s="76"/>
      <c r="E165" s="76">
        <v>0</v>
      </c>
      <c r="F165" s="76">
        <v>0</v>
      </c>
      <c r="G165" s="76">
        <v>1</v>
      </c>
      <c r="H165" s="76">
        <v>1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2">
        <v>2</v>
      </c>
    </row>
    <row r="166" spans="1:17">
      <c r="A166" s="40" t="s">
        <v>4</v>
      </c>
      <c r="B166" s="13" t="s">
        <v>1543</v>
      </c>
      <c r="C166" s="76" t="s">
        <v>1285</v>
      </c>
      <c r="D166" s="76"/>
      <c r="E166" s="76">
        <v>0</v>
      </c>
      <c r="F166" s="76">
        <v>0</v>
      </c>
      <c r="G166" s="76">
        <v>0</v>
      </c>
      <c r="H166" s="76">
        <v>1</v>
      </c>
      <c r="I166" s="76">
        <v>0</v>
      </c>
      <c r="J166" s="76">
        <v>0</v>
      </c>
      <c r="K166" s="76">
        <v>0</v>
      </c>
      <c r="L166" s="76">
        <v>0</v>
      </c>
      <c r="M166" s="76">
        <v>0</v>
      </c>
      <c r="N166" s="76">
        <v>0</v>
      </c>
      <c r="O166" s="76">
        <v>0</v>
      </c>
      <c r="P166" s="76">
        <v>0</v>
      </c>
      <c r="Q166" s="72">
        <v>1</v>
      </c>
    </row>
    <row r="167" spans="1:17">
      <c r="A167" s="40" t="s">
        <v>4</v>
      </c>
      <c r="B167" s="13" t="s">
        <v>1536</v>
      </c>
      <c r="C167" s="76" t="s">
        <v>1333</v>
      </c>
      <c r="D167" s="76"/>
      <c r="E167" s="76">
        <v>0</v>
      </c>
      <c r="F167" s="76">
        <v>0</v>
      </c>
      <c r="G167" s="76">
        <v>0</v>
      </c>
      <c r="H167" s="76">
        <v>1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2">
        <v>1</v>
      </c>
    </row>
    <row r="168" spans="1:17">
      <c r="A168" s="40" t="s">
        <v>4</v>
      </c>
      <c r="B168" s="13" t="s">
        <v>1566</v>
      </c>
      <c r="C168" s="76" t="s">
        <v>1285</v>
      </c>
      <c r="D168" s="76"/>
      <c r="E168" s="76">
        <v>0</v>
      </c>
      <c r="F168" s="76">
        <v>0</v>
      </c>
      <c r="G168" s="76">
        <v>0</v>
      </c>
      <c r="H168" s="76">
        <v>2</v>
      </c>
      <c r="I168" s="76">
        <v>0</v>
      </c>
      <c r="J168" s="76">
        <v>0</v>
      </c>
      <c r="K168" s="76">
        <v>0</v>
      </c>
      <c r="L168" s="76">
        <v>0</v>
      </c>
      <c r="M168" s="76">
        <v>0</v>
      </c>
      <c r="N168" s="76">
        <v>0</v>
      </c>
      <c r="O168" s="76">
        <v>0</v>
      </c>
      <c r="P168" s="76">
        <v>0</v>
      </c>
      <c r="Q168" s="72">
        <v>2</v>
      </c>
    </row>
    <row r="169" spans="1:17">
      <c r="A169" s="40" t="s">
        <v>4</v>
      </c>
      <c r="B169" s="13" t="s">
        <v>1567</v>
      </c>
      <c r="C169" s="76" t="s">
        <v>1285</v>
      </c>
      <c r="D169" s="76"/>
      <c r="E169" s="76">
        <v>0</v>
      </c>
      <c r="F169" s="76">
        <v>0</v>
      </c>
      <c r="G169" s="76">
        <v>0</v>
      </c>
      <c r="H169" s="76">
        <v>2</v>
      </c>
      <c r="I169" s="76">
        <v>0</v>
      </c>
      <c r="J169" s="76">
        <v>0</v>
      </c>
      <c r="K169" s="76">
        <v>0</v>
      </c>
      <c r="L169" s="76">
        <v>0</v>
      </c>
      <c r="M169" s="76">
        <v>0</v>
      </c>
      <c r="N169" s="76">
        <v>0</v>
      </c>
      <c r="O169" s="76">
        <v>0</v>
      </c>
      <c r="P169" s="76">
        <v>0</v>
      </c>
      <c r="Q169" s="72">
        <v>2</v>
      </c>
    </row>
    <row r="170" spans="1:17">
      <c r="A170" s="40" t="s">
        <v>4</v>
      </c>
      <c r="B170" s="13" t="s">
        <v>1568</v>
      </c>
      <c r="C170" s="76" t="s">
        <v>1285</v>
      </c>
      <c r="D170" s="76"/>
      <c r="E170" s="76">
        <v>0</v>
      </c>
      <c r="F170" s="76">
        <v>0</v>
      </c>
      <c r="G170" s="76">
        <v>1</v>
      </c>
      <c r="H170" s="76">
        <v>0</v>
      </c>
      <c r="I170" s="76">
        <v>0</v>
      </c>
      <c r="J170" s="76">
        <v>0</v>
      </c>
      <c r="K170" s="76">
        <v>0</v>
      </c>
      <c r="L170" s="76">
        <v>0</v>
      </c>
      <c r="M170" s="76">
        <v>0</v>
      </c>
      <c r="N170" s="76">
        <v>0</v>
      </c>
      <c r="O170" s="76">
        <v>0</v>
      </c>
      <c r="P170" s="76">
        <v>0</v>
      </c>
      <c r="Q170" s="72">
        <v>1</v>
      </c>
    </row>
    <row r="171" spans="1:17">
      <c r="A171" s="40" t="s">
        <v>4</v>
      </c>
      <c r="B171" s="13" t="s">
        <v>1569</v>
      </c>
      <c r="C171" s="76" t="s">
        <v>1285</v>
      </c>
      <c r="D171" s="76"/>
      <c r="E171" s="76">
        <v>0</v>
      </c>
      <c r="F171" s="76">
        <v>0</v>
      </c>
      <c r="G171" s="76">
        <v>0</v>
      </c>
      <c r="H171" s="76">
        <v>1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2">
        <v>1</v>
      </c>
    </row>
    <row r="172" spans="1:17">
      <c r="A172" s="40" t="s">
        <v>4</v>
      </c>
      <c r="B172" s="13" t="s">
        <v>1570</v>
      </c>
      <c r="C172" s="76" t="s">
        <v>1285</v>
      </c>
      <c r="D172" s="76"/>
      <c r="E172" s="76">
        <v>0</v>
      </c>
      <c r="F172" s="76">
        <v>0</v>
      </c>
      <c r="G172" s="76">
        <v>0</v>
      </c>
      <c r="H172" s="76">
        <v>1</v>
      </c>
      <c r="I172" s="76">
        <v>0</v>
      </c>
      <c r="J172" s="76">
        <v>0</v>
      </c>
      <c r="K172" s="76">
        <v>0</v>
      </c>
      <c r="L172" s="76">
        <v>0</v>
      </c>
      <c r="M172" s="76">
        <v>0</v>
      </c>
      <c r="N172" s="76">
        <v>0</v>
      </c>
      <c r="O172" s="76">
        <v>0</v>
      </c>
      <c r="P172" s="76">
        <v>0</v>
      </c>
      <c r="Q172" s="72">
        <v>1</v>
      </c>
    </row>
    <row r="173" spans="1:17">
      <c r="A173" s="40" t="s">
        <v>4</v>
      </c>
      <c r="B173" s="13" t="s">
        <v>1571</v>
      </c>
      <c r="C173" s="76" t="s">
        <v>1285</v>
      </c>
      <c r="D173" s="76"/>
      <c r="E173" s="76">
        <v>0</v>
      </c>
      <c r="F173" s="76">
        <v>0</v>
      </c>
      <c r="G173" s="76">
        <v>0</v>
      </c>
      <c r="H173" s="76">
        <v>1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2">
        <v>1</v>
      </c>
    </row>
    <row r="174" spans="1:17">
      <c r="A174" s="40" t="s">
        <v>4</v>
      </c>
      <c r="B174" s="13" t="s">
        <v>1540</v>
      </c>
      <c r="C174" s="76" t="s">
        <v>1298</v>
      </c>
      <c r="D174" s="76"/>
      <c r="E174" s="76">
        <v>0</v>
      </c>
      <c r="F174" s="76">
        <v>0</v>
      </c>
      <c r="G174" s="76">
        <v>0</v>
      </c>
      <c r="H174" s="76">
        <v>0</v>
      </c>
      <c r="I174" s="76">
        <v>2</v>
      </c>
      <c r="J174" s="76">
        <v>0</v>
      </c>
      <c r="K174" s="76">
        <v>0</v>
      </c>
      <c r="L174" s="76">
        <v>0</v>
      </c>
      <c r="M174" s="76">
        <v>0</v>
      </c>
      <c r="N174" s="76">
        <v>0</v>
      </c>
      <c r="O174" s="76">
        <v>0</v>
      </c>
      <c r="P174" s="76">
        <v>0</v>
      </c>
      <c r="Q174" s="72">
        <v>2</v>
      </c>
    </row>
    <row r="175" spans="1:17" ht="58">
      <c r="A175" s="40" t="s">
        <v>3</v>
      </c>
      <c r="B175" s="69" t="s">
        <v>1533</v>
      </c>
      <c r="C175" s="40" t="s">
        <v>1285</v>
      </c>
      <c r="D175" s="70" t="s">
        <v>1409</v>
      </c>
      <c r="E175" s="40">
        <v>6</v>
      </c>
      <c r="F175" s="40">
        <v>2</v>
      </c>
      <c r="G175" s="40"/>
      <c r="H175" s="40">
        <v>2</v>
      </c>
      <c r="I175" s="71"/>
      <c r="J175" s="71"/>
      <c r="K175" s="71"/>
      <c r="L175" s="71"/>
      <c r="M175" s="71"/>
      <c r="N175" s="71"/>
      <c r="O175" s="71"/>
      <c r="P175" s="71"/>
      <c r="Q175" s="72">
        <v>10</v>
      </c>
    </row>
    <row r="176" spans="1:17" ht="29">
      <c r="A176" s="40" t="s">
        <v>3</v>
      </c>
      <c r="B176" s="69" t="s">
        <v>1287</v>
      </c>
      <c r="C176" s="40" t="s">
        <v>1288</v>
      </c>
      <c r="D176" s="70" t="s">
        <v>1400</v>
      </c>
      <c r="E176" s="40">
        <v>1</v>
      </c>
      <c r="F176" s="40"/>
      <c r="G176" s="40"/>
      <c r="H176" s="40"/>
      <c r="I176" s="71"/>
      <c r="J176" s="71"/>
      <c r="K176" s="71"/>
      <c r="L176" s="71"/>
      <c r="M176" s="71"/>
      <c r="N176" s="71"/>
      <c r="O176" s="71"/>
      <c r="P176" s="71"/>
      <c r="Q176" s="72">
        <v>1</v>
      </c>
    </row>
    <row r="177" spans="1:17" ht="43.5">
      <c r="A177" s="40" t="s">
        <v>3</v>
      </c>
      <c r="B177" s="69" t="s">
        <v>1551</v>
      </c>
      <c r="C177" s="40" t="s">
        <v>1285</v>
      </c>
      <c r="D177" s="70" t="s">
        <v>1417</v>
      </c>
      <c r="E177" s="40"/>
      <c r="F177" s="40">
        <v>1</v>
      </c>
      <c r="G177" s="40"/>
      <c r="H177" s="40"/>
      <c r="I177" s="71"/>
      <c r="J177" s="71"/>
      <c r="K177" s="71"/>
      <c r="L177" s="71"/>
      <c r="M177" s="71"/>
      <c r="N177" s="71"/>
      <c r="O177" s="71"/>
      <c r="P177" s="71"/>
      <c r="Q177" s="72">
        <v>1</v>
      </c>
    </row>
    <row r="178" spans="1:17" ht="43.5">
      <c r="A178" s="40" t="s">
        <v>3</v>
      </c>
      <c r="B178" s="69" t="s">
        <v>1530</v>
      </c>
      <c r="C178" s="40" t="s">
        <v>1285</v>
      </c>
      <c r="D178" s="70" t="s">
        <v>1640</v>
      </c>
      <c r="E178" s="40"/>
      <c r="F178" s="40"/>
      <c r="G178" s="40">
        <v>1</v>
      </c>
      <c r="H178" s="40"/>
      <c r="I178" s="71"/>
      <c r="J178" s="71"/>
      <c r="K178" s="71"/>
      <c r="L178" s="71"/>
      <c r="M178" s="71"/>
      <c r="N178" s="71"/>
      <c r="O178" s="71"/>
      <c r="P178" s="71"/>
      <c r="Q178" s="72">
        <v>1</v>
      </c>
    </row>
    <row r="179" spans="1:17" ht="43.5">
      <c r="A179" s="40" t="s">
        <v>3</v>
      </c>
      <c r="B179" s="69" t="s">
        <v>1530</v>
      </c>
      <c r="C179" s="40" t="s">
        <v>1298</v>
      </c>
      <c r="D179" s="70" t="s">
        <v>1640</v>
      </c>
      <c r="E179" s="40">
        <v>4</v>
      </c>
      <c r="F179" s="40">
        <v>25</v>
      </c>
      <c r="G179" s="40">
        <v>9</v>
      </c>
      <c r="H179" s="40">
        <v>9</v>
      </c>
      <c r="I179" s="71"/>
      <c r="J179" s="71"/>
      <c r="K179" s="71"/>
      <c r="L179" s="71"/>
      <c r="M179" s="71"/>
      <c r="N179" s="71"/>
      <c r="O179" s="71"/>
      <c r="P179" s="71"/>
      <c r="Q179" s="72">
        <v>47</v>
      </c>
    </row>
    <row r="180" spans="1:17" ht="29">
      <c r="A180" s="40" t="s">
        <v>3</v>
      </c>
      <c r="B180" s="69" t="s">
        <v>1531</v>
      </c>
      <c r="C180" s="40" t="s">
        <v>1333</v>
      </c>
      <c r="D180" s="70" t="s">
        <v>1398</v>
      </c>
      <c r="E180" s="40"/>
      <c r="F180" s="40"/>
      <c r="G180" s="40"/>
      <c r="H180" s="40"/>
      <c r="I180" s="71"/>
      <c r="J180" s="71"/>
      <c r="K180" s="71"/>
      <c r="L180" s="71"/>
      <c r="M180" s="71"/>
      <c r="N180" s="71"/>
      <c r="O180" s="71"/>
      <c r="P180" s="71"/>
      <c r="Q180" s="72" t="s">
        <v>1448</v>
      </c>
    </row>
    <row r="181" spans="1:17" ht="29">
      <c r="A181" s="40" t="s">
        <v>3</v>
      </c>
      <c r="B181" s="69" t="s">
        <v>1531</v>
      </c>
      <c r="C181" s="40" t="s">
        <v>1285</v>
      </c>
      <c r="D181" s="70" t="s">
        <v>1398</v>
      </c>
      <c r="E181" s="40">
        <v>3</v>
      </c>
      <c r="F181" s="40"/>
      <c r="G181" s="40">
        <v>2</v>
      </c>
      <c r="H181" s="40">
        <v>2</v>
      </c>
      <c r="I181" s="71"/>
      <c r="J181" s="71"/>
      <c r="K181" s="71"/>
      <c r="L181" s="71"/>
      <c r="M181" s="71"/>
      <c r="N181" s="71"/>
      <c r="O181" s="71"/>
      <c r="P181" s="71"/>
      <c r="Q181" s="72">
        <v>7</v>
      </c>
    </row>
    <row r="182" spans="1:17" ht="29">
      <c r="A182" s="40" t="s">
        <v>3</v>
      </c>
      <c r="B182" s="69" t="s">
        <v>1531</v>
      </c>
      <c r="C182" s="40" t="s">
        <v>1298</v>
      </c>
      <c r="D182" s="70" t="s">
        <v>1398</v>
      </c>
      <c r="E182" s="40">
        <v>1</v>
      </c>
      <c r="F182" s="40">
        <v>1</v>
      </c>
      <c r="G182" s="40"/>
      <c r="H182" s="40"/>
      <c r="I182" s="71"/>
      <c r="J182" s="71"/>
      <c r="K182" s="71"/>
      <c r="L182" s="71"/>
      <c r="M182" s="71"/>
      <c r="N182" s="71"/>
      <c r="O182" s="71"/>
      <c r="P182" s="71"/>
      <c r="Q182" s="72">
        <v>2</v>
      </c>
    </row>
    <row r="183" spans="1:17" ht="43.5">
      <c r="A183" s="40" t="s">
        <v>3</v>
      </c>
      <c r="B183" s="69" t="s">
        <v>1641</v>
      </c>
      <c r="C183" s="40" t="s">
        <v>1285</v>
      </c>
      <c r="D183" s="70" t="s">
        <v>1299</v>
      </c>
      <c r="E183" s="40">
        <v>1</v>
      </c>
      <c r="F183" s="40">
        <v>1</v>
      </c>
      <c r="G183" s="40"/>
      <c r="H183" s="40"/>
      <c r="I183" s="71"/>
      <c r="J183" s="71"/>
      <c r="K183" s="71"/>
      <c r="L183" s="71"/>
      <c r="M183" s="71"/>
      <c r="N183" s="71"/>
      <c r="O183" s="71"/>
      <c r="P183" s="71"/>
      <c r="Q183" s="72">
        <v>2</v>
      </c>
    </row>
    <row r="184" spans="1:17" ht="43.5">
      <c r="A184" s="40" t="s">
        <v>3</v>
      </c>
      <c r="B184" s="69" t="s">
        <v>1641</v>
      </c>
      <c r="C184" s="40" t="s">
        <v>1298</v>
      </c>
      <c r="D184" s="70" t="s">
        <v>1299</v>
      </c>
      <c r="E184" s="40"/>
      <c r="F184" s="40"/>
      <c r="G184" s="40"/>
      <c r="H184" s="40"/>
      <c r="I184" s="71"/>
      <c r="J184" s="71"/>
      <c r="K184" s="71"/>
      <c r="L184" s="71"/>
      <c r="M184" s="71"/>
      <c r="N184" s="71"/>
      <c r="O184" s="71"/>
      <c r="P184" s="71"/>
      <c r="Q184" s="72" t="s">
        <v>1448</v>
      </c>
    </row>
    <row r="185" spans="1:17" ht="29">
      <c r="A185" s="40" t="s">
        <v>3</v>
      </c>
      <c r="B185" s="69" t="s">
        <v>1548</v>
      </c>
      <c r="C185" s="40" t="s">
        <v>1285</v>
      </c>
      <c r="D185" s="70" t="s">
        <v>1405</v>
      </c>
      <c r="E185" s="40"/>
      <c r="F185" s="40">
        <v>1</v>
      </c>
      <c r="G185" s="40">
        <v>5</v>
      </c>
      <c r="H185" s="40"/>
      <c r="I185" s="71"/>
      <c r="J185" s="71"/>
      <c r="K185" s="71"/>
      <c r="L185" s="71"/>
      <c r="M185" s="71"/>
      <c r="N185" s="71"/>
      <c r="O185" s="71"/>
      <c r="P185" s="71"/>
      <c r="Q185" s="72">
        <v>6</v>
      </c>
    </row>
    <row r="186" spans="1:17" ht="29">
      <c r="A186" s="40" t="s">
        <v>3</v>
      </c>
      <c r="B186" s="69" t="s">
        <v>1548</v>
      </c>
      <c r="C186" s="40" t="s">
        <v>1298</v>
      </c>
      <c r="D186" s="70" t="s">
        <v>1405</v>
      </c>
      <c r="E186" s="40">
        <v>1</v>
      </c>
      <c r="F186" s="40"/>
      <c r="G186" s="40"/>
      <c r="H186" s="40"/>
      <c r="I186" s="71"/>
      <c r="J186" s="71"/>
      <c r="K186" s="71"/>
      <c r="L186" s="71"/>
      <c r="M186" s="71"/>
      <c r="N186" s="71"/>
      <c r="O186" s="71"/>
      <c r="P186" s="71"/>
      <c r="Q186" s="72">
        <v>1</v>
      </c>
    </row>
    <row r="187" spans="1:17" ht="58">
      <c r="A187" s="40" t="s">
        <v>3</v>
      </c>
      <c r="B187" s="69" t="s">
        <v>1545</v>
      </c>
      <c r="C187" s="40" t="s">
        <v>1285</v>
      </c>
      <c r="D187" s="70" t="s">
        <v>1409</v>
      </c>
      <c r="E187" s="40">
        <v>1</v>
      </c>
      <c r="F187" s="40"/>
      <c r="G187" s="40"/>
      <c r="H187" s="40"/>
      <c r="I187" s="71"/>
      <c r="J187" s="71"/>
      <c r="K187" s="71"/>
      <c r="L187" s="71"/>
      <c r="M187" s="71"/>
      <c r="N187" s="71"/>
      <c r="O187" s="71"/>
      <c r="P187" s="71"/>
      <c r="Q187" s="72">
        <v>1</v>
      </c>
    </row>
    <row r="188" spans="1:17" ht="58">
      <c r="A188" s="40" t="s">
        <v>3</v>
      </c>
      <c r="B188" s="69" t="s">
        <v>1545</v>
      </c>
      <c r="C188" s="40" t="s">
        <v>1298</v>
      </c>
      <c r="D188" s="70" t="s">
        <v>1409</v>
      </c>
      <c r="E188" s="40"/>
      <c r="F188" s="40">
        <v>1</v>
      </c>
      <c r="G188" s="40"/>
      <c r="H188" s="40"/>
      <c r="I188" s="71"/>
      <c r="J188" s="71"/>
      <c r="K188" s="71"/>
      <c r="L188" s="71"/>
      <c r="M188" s="71"/>
      <c r="N188" s="71"/>
      <c r="O188" s="71"/>
      <c r="P188" s="71"/>
      <c r="Q188" s="72">
        <v>1</v>
      </c>
    </row>
    <row r="189" spans="1:17" ht="29">
      <c r="A189" s="40" t="s">
        <v>3</v>
      </c>
      <c r="B189" s="69" t="s">
        <v>1534</v>
      </c>
      <c r="C189" s="40" t="s">
        <v>1288</v>
      </c>
      <c r="D189" s="70" t="s">
        <v>1400</v>
      </c>
      <c r="E189" s="40">
        <v>22</v>
      </c>
      <c r="F189" s="40">
        <v>18</v>
      </c>
      <c r="G189" s="40">
        <v>24</v>
      </c>
      <c r="H189" s="40">
        <v>24</v>
      </c>
      <c r="I189" s="71"/>
      <c r="J189" s="71"/>
      <c r="K189" s="71"/>
      <c r="L189" s="71"/>
      <c r="M189" s="71"/>
      <c r="N189" s="71"/>
      <c r="O189" s="71"/>
      <c r="P189" s="71"/>
      <c r="Q189" s="72">
        <v>88</v>
      </c>
    </row>
    <row r="190" spans="1:17" ht="58">
      <c r="A190" s="40" t="s">
        <v>3</v>
      </c>
      <c r="B190" s="69" t="s">
        <v>1303</v>
      </c>
      <c r="C190" s="40" t="s">
        <v>1285</v>
      </c>
      <c r="D190" s="70" t="s">
        <v>1409</v>
      </c>
      <c r="E190" s="40">
        <v>1</v>
      </c>
      <c r="F190" s="40"/>
      <c r="G190" s="40"/>
      <c r="H190" s="40">
        <v>1</v>
      </c>
      <c r="I190" s="71"/>
      <c r="J190" s="71"/>
      <c r="K190" s="71"/>
      <c r="L190" s="71"/>
      <c r="M190" s="71"/>
      <c r="N190" s="71"/>
      <c r="O190" s="71"/>
      <c r="P190" s="71"/>
      <c r="Q190" s="72">
        <v>2</v>
      </c>
    </row>
    <row r="191" spans="1:17" ht="58">
      <c r="A191" s="40" t="s">
        <v>3</v>
      </c>
      <c r="B191" s="69" t="s">
        <v>1303</v>
      </c>
      <c r="C191" s="40" t="s">
        <v>1298</v>
      </c>
      <c r="D191" s="70" t="s">
        <v>1409</v>
      </c>
      <c r="E191" s="40">
        <v>30</v>
      </c>
      <c r="F191" s="40">
        <v>19</v>
      </c>
      <c r="G191" s="40">
        <v>28</v>
      </c>
      <c r="H191" s="40">
        <v>36</v>
      </c>
      <c r="I191" s="71"/>
      <c r="J191" s="71"/>
      <c r="K191" s="71"/>
      <c r="L191" s="71"/>
      <c r="M191" s="71"/>
      <c r="N191" s="71"/>
      <c r="O191" s="71"/>
      <c r="P191" s="71"/>
      <c r="Q191" s="72">
        <v>113</v>
      </c>
    </row>
    <row r="192" spans="1:17" ht="29">
      <c r="A192" s="40" t="s">
        <v>3</v>
      </c>
      <c r="B192" s="69" t="s">
        <v>1302</v>
      </c>
      <c r="C192" s="40" t="s">
        <v>1285</v>
      </c>
      <c r="D192" s="70" t="s">
        <v>1402</v>
      </c>
      <c r="E192" s="40"/>
      <c r="F192" s="40">
        <v>3</v>
      </c>
      <c r="G192" s="40">
        <v>4</v>
      </c>
      <c r="H192" s="40"/>
      <c r="I192" s="71"/>
      <c r="J192" s="71"/>
      <c r="K192" s="71"/>
      <c r="L192" s="71"/>
      <c r="M192" s="71"/>
      <c r="N192" s="71"/>
      <c r="O192" s="71"/>
      <c r="P192" s="71"/>
      <c r="Q192" s="72">
        <v>7</v>
      </c>
    </row>
    <row r="193" spans="1:17" ht="29">
      <c r="A193" s="40" t="s">
        <v>3</v>
      </c>
      <c r="B193" s="69" t="s">
        <v>1302</v>
      </c>
      <c r="C193" s="40" t="s">
        <v>1298</v>
      </c>
      <c r="D193" s="70" t="s">
        <v>1402</v>
      </c>
      <c r="E193" s="40"/>
      <c r="F193" s="40"/>
      <c r="G193" s="40">
        <v>1</v>
      </c>
      <c r="H193" s="40"/>
      <c r="I193" s="71"/>
      <c r="J193" s="71"/>
      <c r="K193" s="71"/>
      <c r="L193" s="71"/>
      <c r="M193" s="71"/>
      <c r="N193" s="71"/>
      <c r="O193" s="71"/>
      <c r="P193" s="71"/>
      <c r="Q193" s="72">
        <v>1</v>
      </c>
    </row>
    <row r="194" spans="1:17" ht="58">
      <c r="A194" s="40" t="s">
        <v>3</v>
      </c>
      <c r="B194" s="69" t="s">
        <v>1642</v>
      </c>
      <c r="C194" s="40" t="s">
        <v>1298</v>
      </c>
      <c r="D194" s="70" t="s">
        <v>1415</v>
      </c>
      <c r="E194" s="40"/>
      <c r="F194" s="40"/>
      <c r="G194" s="40"/>
      <c r="H194" s="40"/>
      <c r="I194" s="71"/>
      <c r="J194" s="71"/>
      <c r="K194" s="71"/>
      <c r="L194" s="71"/>
      <c r="M194" s="71"/>
      <c r="N194" s="71"/>
      <c r="O194" s="71"/>
      <c r="P194" s="71"/>
      <c r="Q194" s="72" t="s">
        <v>1448</v>
      </c>
    </row>
    <row r="195" spans="1:17" ht="43.5">
      <c r="A195" s="40" t="s">
        <v>3</v>
      </c>
      <c r="B195" s="69" t="s">
        <v>1643</v>
      </c>
      <c r="C195" s="40" t="s">
        <v>1285</v>
      </c>
      <c r="D195" s="70" t="s">
        <v>1299</v>
      </c>
      <c r="E195" s="40">
        <v>1</v>
      </c>
      <c r="F195" s="40"/>
      <c r="G195" s="40"/>
      <c r="H195" s="40"/>
      <c r="I195" s="71"/>
      <c r="J195" s="71"/>
      <c r="K195" s="71"/>
      <c r="L195" s="71"/>
      <c r="M195" s="71"/>
      <c r="N195" s="71"/>
      <c r="O195" s="71"/>
      <c r="P195" s="71"/>
      <c r="Q195" s="72">
        <v>1</v>
      </c>
    </row>
    <row r="196" spans="1:17" ht="43.5">
      <c r="A196" s="40" t="s">
        <v>3</v>
      </c>
      <c r="B196" s="69" t="s">
        <v>1643</v>
      </c>
      <c r="C196" s="40" t="s">
        <v>1298</v>
      </c>
      <c r="D196" s="70" t="s">
        <v>1299</v>
      </c>
      <c r="E196" s="40"/>
      <c r="F196" s="40"/>
      <c r="G196" s="40"/>
      <c r="H196" s="40">
        <v>1</v>
      </c>
      <c r="I196" s="71"/>
      <c r="J196" s="71"/>
      <c r="K196" s="71"/>
      <c r="L196" s="71"/>
      <c r="M196" s="71"/>
      <c r="N196" s="71"/>
      <c r="O196" s="71"/>
      <c r="P196" s="71"/>
      <c r="Q196" s="72">
        <v>1</v>
      </c>
    </row>
    <row r="197" spans="1:17" ht="43.5">
      <c r="A197" s="40" t="s">
        <v>3</v>
      </c>
      <c r="B197" s="69" t="s">
        <v>1644</v>
      </c>
      <c r="C197" s="40" t="s">
        <v>1285</v>
      </c>
      <c r="D197" s="70" t="s">
        <v>1419</v>
      </c>
      <c r="E197" s="40">
        <v>3</v>
      </c>
      <c r="F197" s="40"/>
      <c r="G197" s="40">
        <v>1</v>
      </c>
      <c r="H197" s="40">
        <v>1</v>
      </c>
      <c r="I197" s="71"/>
      <c r="J197" s="71"/>
      <c r="K197" s="71"/>
      <c r="L197" s="71"/>
      <c r="M197" s="71"/>
      <c r="N197" s="71"/>
      <c r="O197" s="71"/>
      <c r="P197" s="71"/>
      <c r="Q197" s="72">
        <v>5</v>
      </c>
    </row>
    <row r="198" spans="1:17" ht="43.5">
      <c r="A198" s="40" t="s">
        <v>3</v>
      </c>
      <c r="B198" s="69" t="s">
        <v>1644</v>
      </c>
      <c r="C198" s="40" t="s">
        <v>1298</v>
      </c>
      <c r="D198" s="70" t="s">
        <v>1419</v>
      </c>
      <c r="E198" s="40">
        <v>1</v>
      </c>
      <c r="F198" s="40">
        <v>2</v>
      </c>
      <c r="G198" s="40"/>
      <c r="H198" s="40"/>
      <c r="I198" s="71"/>
      <c r="J198" s="71"/>
      <c r="K198" s="71"/>
      <c r="L198" s="71"/>
      <c r="M198" s="71"/>
      <c r="N198" s="71"/>
      <c r="O198" s="71"/>
      <c r="P198" s="71"/>
      <c r="Q198" s="72">
        <v>3</v>
      </c>
    </row>
    <row r="199" spans="1:17" ht="29">
      <c r="A199" s="40" t="s">
        <v>3</v>
      </c>
      <c r="B199" s="69" t="s">
        <v>1645</v>
      </c>
      <c r="C199" s="40" t="s">
        <v>1285</v>
      </c>
      <c r="D199" s="70" t="s">
        <v>1402</v>
      </c>
      <c r="E199" s="40">
        <v>1</v>
      </c>
      <c r="F199" s="40"/>
      <c r="G199" s="40"/>
      <c r="H199" s="40"/>
      <c r="I199" s="71"/>
      <c r="J199" s="71"/>
      <c r="K199" s="71"/>
      <c r="L199" s="71"/>
      <c r="M199" s="71"/>
      <c r="N199" s="71"/>
      <c r="O199" s="71"/>
      <c r="P199" s="71"/>
      <c r="Q199" s="72">
        <v>1</v>
      </c>
    </row>
    <row r="200" spans="1:17" ht="43.5">
      <c r="A200" s="40" t="s">
        <v>3</v>
      </c>
      <c r="B200" s="69" t="s">
        <v>1646</v>
      </c>
      <c r="C200" s="40" t="s">
        <v>1285</v>
      </c>
      <c r="D200" s="70" t="s">
        <v>1419</v>
      </c>
      <c r="E200" s="40"/>
      <c r="F200" s="40"/>
      <c r="G200" s="40">
        <v>2</v>
      </c>
      <c r="H200" s="40"/>
      <c r="I200" s="71"/>
      <c r="J200" s="71"/>
      <c r="K200" s="71"/>
      <c r="L200" s="71"/>
      <c r="M200" s="71"/>
      <c r="N200" s="71"/>
      <c r="O200" s="71"/>
      <c r="P200" s="71"/>
      <c r="Q200" s="72">
        <v>2</v>
      </c>
    </row>
    <row r="201" spans="1:17" ht="29">
      <c r="A201" s="40" t="s">
        <v>3</v>
      </c>
      <c r="B201" s="69" t="s">
        <v>1540</v>
      </c>
      <c r="C201" s="40" t="s">
        <v>1288</v>
      </c>
      <c r="D201" s="70" t="s">
        <v>1400</v>
      </c>
      <c r="E201" s="40"/>
      <c r="F201" s="40"/>
      <c r="G201" s="40"/>
      <c r="H201" s="40"/>
      <c r="I201" s="71"/>
      <c r="J201" s="71"/>
      <c r="K201" s="71"/>
      <c r="L201" s="71"/>
      <c r="M201" s="71"/>
      <c r="N201" s="71"/>
      <c r="O201" s="71"/>
      <c r="P201" s="71"/>
      <c r="Q201" s="72" t="s">
        <v>1448</v>
      </c>
    </row>
    <row r="202" spans="1:17" ht="43.5">
      <c r="A202" s="40" t="s">
        <v>3</v>
      </c>
      <c r="B202" s="69" t="s">
        <v>1647</v>
      </c>
      <c r="C202" s="40" t="s">
        <v>1298</v>
      </c>
      <c r="D202" s="70" t="s">
        <v>1417</v>
      </c>
      <c r="E202" s="40"/>
      <c r="F202" s="40">
        <v>1</v>
      </c>
      <c r="G202" s="40"/>
      <c r="H202" s="40"/>
      <c r="I202" s="71"/>
      <c r="J202" s="71"/>
      <c r="K202" s="71"/>
      <c r="L202" s="71"/>
      <c r="M202" s="71"/>
      <c r="N202" s="71"/>
      <c r="O202" s="71"/>
      <c r="P202" s="71"/>
      <c r="Q202" s="72">
        <v>1</v>
      </c>
    </row>
    <row r="203" spans="1:17" ht="29">
      <c r="A203" s="40" t="s">
        <v>3</v>
      </c>
      <c r="B203" s="69" t="s">
        <v>1648</v>
      </c>
      <c r="C203" s="40" t="s">
        <v>1298</v>
      </c>
      <c r="D203" s="70" t="s">
        <v>1405</v>
      </c>
      <c r="E203" s="40">
        <v>1</v>
      </c>
      <c r="F203" s="40">
        <v>3</v>
      </c>
      <c r="G203" s="40"/>
      <c r="H203" s="40"/>
      <c r="I203" s="71"/>
      <c r="J203" s="71"/>
      <c r="K203" s="71"/>
      <c r="L203" s="71"/>
      <c r="M203" s="71"/>
      <c r="N203" s="71"/>
      <c r="O203" s="71"/>
      <c r="P203" s="71"/>
      <c r="Q203" s="72">
        <v>4</v>
      </c>
    </row>
    <row r="204" spans="1:17" ht="43.5">
      <c r="A204" s="40" t="s">
        <v>3</v>
      </c>
      <c r="B204" s="69" t="s">
        <v>1532</v>
      </c>
      <c r="C204" s="40" t="s">
        <v>1285</v>
      </c>
      <c r="D204" s="70" t="s">
        <v>1649</v>
      </c>
      <c r="E204" s="40"/>
      <c r="F204" s="40"/>
      <c r="G204" s="40"/>
      <c r="H204" s="40">
        <v>4</v>
      </c>
      <c r="I204" s="71"/>
      <c r="J204" s="71"/>
      <c r="K204" s="71"/>
      <c r="L204" s="71"/>
      <c r="M204" s="71"/>
      <c r="N204" s="71"/>
      <c r="O204" s="71"/>
      <c r="P204" s="71"/>
      <c r="Q204" s="72">
        <v>4</v>
      </c>
    </row>
    <row r="205" spans="1:17" ht="43.5">
      <c r="A205" s="40" t="s">
        <v>3</v>
      </c>
      <c r="B205" s="69" t="s">
        <v>1532</v>
      </c>
      <c r="C205" s="40" t="s">
        <v>1298</v>
      </c>
      <c r="D205" s="70" t="s">
        <v>1649</v>
      </c>
      <c r="E205" s="40">
        <v>17</v>
      </c>
      <c r="F205" s="40">
        <v>10</v>
      </c>
      <c r="G205" s="40">
        <v>16</v>
      </c>
      <c r="H205" s="40"/>
      <c r="I205" s="71"/>
      <c r="J205" s="71"/>
      <c r="K205" s="71"/>
      <c r="L205" s="71"/>
      <c r="M205" s="71"/>
      <c r="N205" s="71"/>
      <c r="O205" s="71"/>
      <c r="P205" s="71"/>
      <c r="Q205" s="72">
        <v>43</v>
      </c>
    </row>
    <row r="206" spans="1:17" ht="58">
      <c r="A206" s="40" t="s">
        <v>3</v>
      </c>
      <c r="B206" s="69" t="s">
        <v>1650</v>
      </c>
      <c r="C206" s="40" t="s">
        <v>1285</v>
      </c>
      <c r="D206" s="70" t="s">
        <v>1651</v>
      </c>
      <c r="E206" s="40"/>
      <c r="F206" s="40">
        <v>1</v>
      </c>
      <c r="G206" s="40">
        <v>1</v>
      </c>
      <c r="H206" s="40"/>
      <c r="I206" s="71"/>
      <c r="J206" s="71"/>
      <c r="K206" s="71"/>
      <c r="L206" s="71"/>
      <c r="M206" s="71"/>
      <c r="N206" s="71"/>
      <c r="O206" s="71"/>
      <c r="P206" s="71"/>
      <c r="Q206" s="72">
        <v>2</v>
      </c>
    </row>
    <row r="207" spans="1:17" ht="58">
      <c r="A207" s="40" t="s">
        <v>3</v>
      </c>
      <c r="B207" s="69" t="s">
        <v>1650</v>
      </c>
      <c r="C207" s="40" t="s">
        <v>1298</v>
      </c>
      <c r="D207" s="70" t="s">
        <v>1651</v>
      </c>
      <c r="E207" s="40">
        <v>5</v>
      </c>
      <c r="F207" s="40"/>
      <c r="G207" s="40"/>
      <c r="H207" s="40"/>
      <c r="I207" s="71"/>
      <c r="J207" s="71"/>
      <c r="K207" s="71"/>
      <c r="L207" s="71"/>
      <c r="M207" s="71"/>
      <c r="N207" s="71"/>
      <c r="O207" s="71"/>
      <c r="P207" s="71"/>
      <c r="Q207" s="72">
        <v>5</v>
      </c>
    </row>
    <row r="208" spans="1:17" ht="29">
      <c r="A208" s="40" t="s">
        <v>3</v>
      </c>
      <c r="B208" s="69" t="s">
        <v>1652</v>
      </c>
      <c r="C208" s="40" t="s">
        <v>1285</v>
      </c>
      <c r="D208" s="70" t="s">
        <v>1402</v>
      </c>
      <c r="E208" s="40"/>
      <c r="F208" s="40"/>
      <c r="G208" s="40">
        <v>1</v>
      </c>
      <c r="H208" s="40">
        <v>1</v>
      </c>
      <c r="I208" s="71"/>
      <c r="J208" s="71"/>
      <c r="K208" s="71"/>
      <c r="L208" s="71"/>
      <c r="M208" s="71"/>
      <c r="N208" s="71"/>
      <c r="O208" s="71"/>
      <c r="P208" s="71"/>
      <c r="Q208" s="72">
        <v>2</v>
      </c>
    </row>
    <row r="209" spans="1:17" ht="29">
      <c r="A209" s="40" t="s">
        <v>3</v>
      </c>
      <c r="B209" s="69" t="s">
        <v>1652</v>
      </c>
      <c r="C209" s="40" t="s">
        <v>1298</v>
      </c>
      <c r="D209" s="70" t="s">
        <v>1402</v>
      </c>
      <c r="E209" s="40"/>
      <c r="F209" s="40"/>
      <c r="G209" s="40"/>
      <c r="H209" s="40">
        <v>1</v>
      </c>
      <c r="I209" s="71"/>
      <c r="J209" s="71"/>
      <c r="K209" s="71"/>
      <c r="L209" s="71"/>
      <c r="M209" s="71"/>
      <c r="N209" s="71"/>
      <c r="O209" s="71"/>
      <c r="P209" s="71"/>
      <c r="Q209" s="72">
        <v>1</v>
      </c>
    </row>
    <row r="210" spans="1:17" ht="43.5">
      <c r="A210" s="40" t="s">
        <v>3</v>
      </c>
      <c r="B210" s="69" t="s">
        <v>1653</v>
      </c>
      <c r="C210" s="40" t="s">
        <v>1298</v>
      </c>
      <c r="D210" s="70" t="s">
        <v>1299</v>
      </c>
      <c r="E210" s="40">
        <v>1</v>
      </c>
      <c r="F210" s="40">
        <v>2</v>
      </c>
      <c r="G210" s="40"/>
      <c r="H210" s="40"/>
      <c r="I210" s="71"/>
      <c r="J210" s="71"/>
      <c r="K210" s="71"/>
      <c r="L210" s="71"/>
      <c r="M210" s="71"/>
      <c r="N210" s="71"/>
      <c r="O210" s="71"/>
      <c r="P210" s="71"/>
      <c r="Q210" s="72">
        <v>3</v>
      </c>
    </row>
    <row r="211" spans="1:17" ht="29">
      <c r="A211" s="40" t="s">
        <v>3</v>
      </c>
      <c r="B211" s="69" t="s">
        <v>1654</v>
      </c>
      <c r="C211" s="40" t="s">
        <v>1288</v>
      </c>
      <c r="D211" s="70" t="s">
        <v>1400</v>
      </c>
      <c r="E211" s="40">
        <v>46</v>
      </c>
      <c r="F211" s="40">
        <v>35</v>
      </c>
      <c r="G211" s="40">
        <v>44</v>
      </c>
      <c r="H211" s="40">
        <v>45</v>
      </c>
      <c r="I211" s="71"/>
      <c r="J211" s="71"/>
      <c r="K211" s="71"/>
      <c r="L211" s="71"/>
      <c r="M211" s="71"/>
      <c r="N211" s="71"/>
      <c r="O211" s="71"/>
      <c r="P211" s="71"/>
      <c r="Q211" s="72">
        <v>170</v>
      </c>
    </row>
    <row r="212" spans="1:17" ht="58">
      <c r="A212" s="40" t="s">
        <v>3</v>
      </c>
      <c r="B212" s="69" t="s">
        <v>1655</v>
      </c>
      <c r="C212" s="40" t="s">
        <v>1285</v>
      </c>
      <c r="D212" s="70" t="s">
        <v>1656</v>
      </c>
      <c r="E212" s="40"/>
      <c r="F212" s="40"/>
      <c r="G212" s="40"/>
      <c r="H212" s="40">
        <v>1</v>
      </c>
      <c r="I212" s="71"/>
      <c r="J212" s="71"/>
      <c r="K212" s="71"/>
      <c r="L212" s="71"/>
      <c r="M212" s="71"/>
      <c r="N212" s="71"/>
      <c r="O212" s="71"/>
      <c r="P212" s="71"/>
      <c r="Q212" s="72">
        <v>1</v>
      </c>
    </row>
    <row r="213" spans="1:17" ht="58">
      <c r="A213" s="40" t="s">
        <v>3</v>
      </c>
      <c r="B213" s="69" t="s">
        <v>1655</v>
      </c>
      <c r="C213" s="40" t="s">
        <v>1298</v>
      </c>
      <c r="D213" s="70" t="s">
        <v>1656</v>
      </c>
      <c r="E213" s="40"/>
      <c r="F213" s="40"/>
      <c r="G213" s="40">
        <v>3</v>
      </c>
      <c r="H213" s="40">
        <v>2</v>
      </c>
      <c r="I213" s="71"/>
      <c r="J213" s="71"/>
      <c r="K213" s="71"/>
      <c r="L213" s="71"/>
      <c r="M213" s="71"/>
      <c r="N213" s="71"/>
      <c r="O213" s="71"/>
      <c r="P213" s="71"/>
      <c r="Q213" s="72">
        <v>5</v>
      </c>
    </row>
  </sheetData>
  <conditionalFormatting sqref="B57:B7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6" sqref="A16:E19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4" t="s">
        <v>117</v>
      </c>
      <c r="B2" s="54" t="s">
        <v>6</v>
      </c>
      <c r="C2" s="37" t="s">
        <v>1209</v>
      </c>
      <c r="D2" s="37" t="s">
        <v>1210</v>
      </c>
      <c r="E2" s="37" t="s">
        <v>1208</v>
      </c>
    </row>
    <row r="3" spans="1:5" s="24" customFormat="1">
      <c r="A3" s="60" t="s">
        <v>2</v>
      </c>
      <c r="B3" s="40" t="s">
        <v>1202</v>
      </c>
      <c r="C3" s="127">
        <v>89</v>
      </c>
      <c r="D3" s="127">
        <v>3</v>
      </c>
      <c r="E3" s="62">
        <v>3.3707865168539325E-2</v>
      </c>
    </row>
    <row r="4" spans="1:5" s="24" customFormat="1">
      <c r="A4" s="60" t="s">
        <v>2</v>
      </c>
      <c r="B4" s="40" t="s">
        <v>1203</v>
      </c>
      <c r="C4" s="127">
        <v>107</v>
      </c>
      <c r="D4" s="127">
        <v>5</v>
      </c>
      <c r="E4" s="62">
        <v>4.6728971962616821E-2</v>
      </c>
    </row>
    <row r="5" spans="1:5" s="24" customFormat="1">
      <c r="A5" s="60" t="s">
        <v>2</v>
      </c>
      <c r="B5" s="40" t="s">
        <v>1204</v>
      </c>
      <c r="C5" s="127">
        <v>78</v>
      </c>
      <c r="D5" s="127">
        <v>7</v>
      </c>
      <c r="E5" s="62">
        <v>8.9743589743589744E-2</v>
      </c>
    </row>
    <row r="6" spans="1:5" s="24" customFormat="1">
      <c r="A6" s="60" t="s">
        <v>2</v>
      </c>
      <c r="B6" s="40" t="s">
        <v>1205</v>
      </c>
      <c r="C6" s="127">
        <v>65</v>
      </c>
      <c r="D6" s="127">
        <v>4</v>
      </c>
      <c r="E6" s="62">
        <v>6.1538461538461542E-2</v>
      </c>
    </row>
    <row r="7" spans="1:5" s="24" customFormat="1">
      <c r="A7" s="60" t="s">
        <v>1</v>
      </c>
      <c r="B7" s="40" t="s">
        <v>1202</v>
      </c>
      <c r="C7" s="61">
        <v>90</v>
      </c>
      <c r="D7" s="61">
        <v>80</v>
      </c>
      <c r="E7" s="62">
        <v>0.88888888888888884</v>
      </c>
    </row>
    <row r="8" spans="1:5" s="24" customFormat="1">
      <c r="A8" s="60" t="s">
        <v>1</v>
      </c>
      <c r="B8" s="40" t="s">
        <v>1203</v>
      </c>
      <c r="C8" s="61">
        <v>88</v>
      </c>
      <c r="D8" s="61">
        <v>98</v>
      </c>
      <c r="E8" s="62">
        <v>1.1136363636363635</v>
      </c>
    </row>
    <row r="9" spans="1:5" s="24" customFormat="1">
      <c r="A9" s="60" t="s">
        <v>1</v>
      </c>
      <c r="B9" s="40" t="s">
        <v>1204</v>
      </c>
      <c r="C9" s="61">
        <v>100</v>
      </c>
      <c r="D9" s="61">
        <v>80</v>
      </c>
      <c r="E9" s="62">
        <v>0.8</v>
      </c>
    </row>
    <row r="10" spans="1:5" s="24" customFormat="1">
      <c r="A10" s="60" t="s">
        <v>1</v>
      </c>
      <c r="B10" s="40" t="s">
        <v>1205</v>
      </c>
      <c r="C10" s="61">
        <v>60</v>
      </c>
      <c r="D10" s="61">
        <v>69</v>
      </c>
      <c r="E10" s="62">
        <v>1.1499999999999999</v>
      </c>
    </row>
    <row r="11" spans="1:5" s="24" customFormat="1">
      <c r="A11" s="60" t="s">
        <v>4</v>
      </c>
      <c r="B11" s="40" t="s">
        <v>1202</v>
      </c>
      <c r="C11" s="61">
        <v>330</v>
      </c>
      <c r="D11" s="61">
        <v>330</v>
      </c>
      <c r="E11" s="62">
        <v>1</v>
      </c>
    </row>
    <row r="12" spans="1:5" s="24" customFormat="1">
      <c r="A12" s="60" t="s">
        <v>4</v>
      </c>
      <c r="B12" s="40" t="s">
        <v>1203</v>
      </c>
      <c r="C12" s="61">
        <v>318</v>
      </c>
      <c r="D12" s="61">
        <v>318</v>
      </c>
      <c r="E12" s="62">
        <v>1</v>
      </c>
    </row>
    <row r="13" spans="1:5" s="24" customFormat="1">
      <c r="A13" s="60" t="s">
        <v>4</v>
      </c>
      <c r="B13" s="40" t="s">
        <v>1204</v>
      </c>
      <c r="C13" s="61">
        <v>331</v>
      </c>
      <c r="D13" s="61">
        <v>331</v>
      </c>
      <c r="E13" s="62">
        <v>1</v>
      </c>
    </row>
    <row r="14" spans="1:5" s="24" customFormat="1">
      <c r="A14" s="60" t="s">
        <v>4</v>
      </c>
      <c r="B14" s="40" t="s">
        <v>1205</v>
      </c>
      <c r="C14" s="61">
        <v>430</v>
      </c>
      <c r="D14" s="61">
        <v>430</v>
      </c>
      <c r="E14" s="62">
        <v>1</v>
      </c>
    </row>
    <row r="15" spans="1:5">
      <c r="A15" s="60" t="s">
        <v>4</v>
      </c>
      <c r="B15" s="40" t="s">
        <v>1206</v>
      </c>
      <c r="C15" s="61">
        <v>357</v>
      </c>
      <c r="D15" s="61">
        <v>357</v>
      </c>
      <c r="E15" s="62">
        <v>1</v>
      </c>
    </row>
    <row r="16" spans="1:5">
      <c r="A16" s="60" t="s">
        <v>3</v>
      </c>
      <c r="B16" s="40" t="s">
        <v>1202</v>
      </c>
      <c r="C16" s="61">
        <v>147</v>
      </c>
      <c r="D16" s="61"/>
      <c r="E16" s="62">
        <v>0</v>
      </c>
    </row>
    <row r="17" spans="1:5">
      <c r="A17" s="60" t="s">
        <v>3</v>
      </c>
      <c r="B17" s="40" t="s">
        <v>1203</v>
      </c>
      <c r="C17" s="61">
        <v>126</v>
      </c>
      <c r="D17" s="61"/>
      <c r="E17" s="62">
        <v>0</v>
      </c>
    </row>
    <row r="18" spans="1:5">
      <c r="A18" s="60" t="s">
        <v>3</v>
      </c>
      <c r="B18" s="40" t="s">
        <v>1204</v>
      </c>
      <c r="C18" s="61">
        <v>142</v>
      </c>
      <c r="D18" s="61"/>
      <c r="E18" s="62">
        <v>0</v>
      </c>
    </row>
    <row r="19" spans="1:5">
      <c r="A19" s="60" t="s">
        <v>3</v>
      </c>
      <c r="B19" s="40" t="s">
        <v>1205</v>
      </c>
      <c r="C19" s="61">
        <v>130</v>
      </c>
      <c r="D19" s="61"/>
      <c r="E19" s="6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topLeftCell="A9" zoomScale="85" zoomScaleNormal="85" workbookViewId="0">
      <selection activeCell="A16" sqref="A16:E19"/>
    </sheetView>
  </sheetViews>
  <sheetFormatPr defaultColWidth="8.7265625" defaultRowHeight="14.5"/>
  <cols>
    <col min="1" max="2" width="8.7265625" style="23"/>
    <col min="3" max="3" width="24.453125" style="23" customWidth="1"/>
    <col min="4" max="4" width="28.7265625" style="23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4" t="s">
        <v>117</v>
      </c>
      <c r="B2" s="54" t="s">
        <v>6</v>
      </c>
      <c r="C2" s="37" t="s">
        <v>1212</v>
      </c>
      <c r="D2" s="37" t="s">
        <v>1211</v>
      </c>
      <c r="E2" s="37" t="s">
        <v>1181</v>
      </c>
    </row>
    <row r="3" spans="1:5" s="24" customFormat="1">
      <c r="A3" s="55" t="s">
        <v>2</v>
      </c>
      <c r="B3" s="40" t="s">
        <v>1202</v>
      </c>
      <c r="C3" s="109">
        <v>534</v>
      </c>
      <c r="D3" s="56"/>
      <c r="E3" s="57"/>
    </row>
    <row r="4" spans="1:5" s="24" customFormat="1">
      <c r="A4" s="55" t="s">
        <v>2</v>
      </c>
      <c r="B4" s="40" t="s">
        <v>1203</v>
      </c>
      <c r="C4" s="109">
        <v>479</v>
      </c>
      <c r="D4" s="58"/>
      <c r="E4" s="59"/>
    </row>
    <row r="5" spans="1:5" s="24" customFormat="1">
      <c r="A5" s="55" t="s">
        <v>2</v>
      </c>
      <c r="B5" s="40" t="s">
        <v>1204</v>
      </c>
      <c r="C5" s="109">
        <v>614</v>
      </c>
      <c r="D5" s="56"/>
      <c r="E5" s="57"/>
    </row>
    <row r="6" spans="1:5" s="24" customFormat="1">
      <c r="A6" s="55" t="s">
        <v>2</v>
      </c>
      <c r="B6" s="40" t="s">
        <v>1205</v>
      </c>
      <c r="C6" s="109">
        <v>558</v>
      </c>
      <c r="D6" s="56">
        <v>35</v>
      </c>
      <c r="E6" s="62">
        <v>6.2724014336917558E-2</v>
      </c>
    </row>
    <row r="7" spans="1:5" s="24" customFormat="1">
      <c r="A7" s="55" t="s">
        <v>1</v>
      </c>
      <c r="B7" s="40" t="s">
        <v>1202</v>
      </c>
      <c r="C7" s="56"/>
      <c r="D7" s="56"/>
      <c r="E7" s="57"/>
    </row>
    <row r="8" spans="1:5" s="24" customFormat="1">
      <c r="A8" s="55" t="s">
        <v>1</v>
      </c>
      <c r="B8" s="40" t="s">
        <v>1203</v>
      </c>
      <c r="C8" s="56"/>
      <c r="D8" s="58"/>
      <c r="E8" s="59"/>
    </row>
    <row r="9" spans="1:5" s="24" customFormat="1">
      <c r="A9" s="55" t="s">
        <v>1</v>
      </c>
      <c r="B9" s="40" t="s">
        <v>1204</v>
      </c>
      <c r="C9" s="56"/>
      <c r="D9" s="56"/>
      <c r="E9" s="57"/>
    </row>
    <row r="10" spans="1:5" s="24" customFormat="1">
      <c r="A10" s="55" t="s">
        <v>1</v>
      </c>
      <c r="B10" s="40" t="s">
        <v>1205</v>
      </c>
      <c r="C10" s="56">
        <v>500</v>
      </c>
      <c r="D10" s="56">
        <v>0</v>
      </c>
      <c r="E10" s="62">
        <v>0</v>
      </c>
    </row>
    <row r="11" spans="1:5" s="24" customFormat="1">
      <c r="A11" s="55" t="s">
        <v>1</v>
      </c>
      <c r="B11" s="40" t="s">
        <v>1206</v>
      </c>
      <c r="C11" s="56">
        <v>500</v>
      </c>
      <c r="D11" s="56">
        <v>20</v>
      </c>
      <c r="E11" s="62">
        <v>0.04</v>
      </c>
    </row>
    <row r="12" spans="1:5" s="24" customFormat="1">
      <c r="A12" s="55" t="s">
        <v>4</v>
      </c>
      <c r="B12" s="40" t="s">
        <v>1203</v>
      </c>
      <c r="C12" s="56"/>
      <c r="D12" s="58"/>
      <c r="E12" s="59"/>
    </row>
    <row r="13" spans="1:5" s="24" customFormat="1">
      <c r="A13" s="55" t="s">
        <v>4</v>
      </c>
      <c r="B13" s="40" t="s">
        <v>1204</v>
      </c>
      <c r="C13" s="56"/>
      <c r="D13" s="56"/>
      <c r="E13" s="57"/>
    </row>
    <row r="14" spans="1:5" s="24" customFormat="1">
      <c r="A14" s="55" t="s">
        <v>4</v>
      </c>
      <c r="B14" s="40" t="s">
        <v>1205</v>
      </c>
      <c r="C14" s="56"/>
      <c r="D14" s="56"/>
      <c r="E14" s="62"/>
    </row>
    <row r="15" spans="1:5" s="24" customFormat="1">
      <c r="A15" s="55" t="s">
        <v>4</v>
      </c>
      <c r="B15" s="40" t="s">
        <v>1206</v>
      </c>
      <c r="C15" s="56"/>
      <c r="D15" s="56"/>
      <c r="E15" s="62"/>
    </row>
    <row r="16" spans="1:5" s="24" customFormat="1">
      <c r="A16" s="55" t="s">
        <v>3</v>
      </c>
      <c r="B16" s="40" t="s">
        <v>1202</v>
      </c>
      <c r="C16" s="56">
        <v>282</v>
      </c>
      <c r="D16" s="56">
        <v>0</v>
      </c>
      <c r="E16" s="57"/>
    </row>
    <row r="17" spans="1:5" s="24" customFormat="1">
      <c r="A17" s="55" t="s">
        <v>3</v>
      </c>
      <c r="B17" s="40" t="s">
        <v>1203</v>
      </c>
      <c r="C17" s="56">
        <v>376</v>
      </c>
      <c r="D17" s="58">
        <v>0</v>
      </c>
      <c r="E17" s="59"/>
    </row>
    <row r="18" spans="1:5" s="24" customFormat="1">
      <c r="A18" s="55" t="s">
        <v>3</v>
      </c>
      <c r="B18" s="40" t="s">
        <v>1204</v>
      </c>
      <c r="C18" s="56">
        <v>477</v>
      </c>
      <c r="D18" s="56">
        <v>0</v>
      </c>
      <c r="E18" s="57"/>
    </row>
    <row r="19" spans="1:5" s="24" customFormat="1">
      <c r="A19" s="55" t="s">
        <v>3</v>
      </c>
      <c r="B19" s="40" t="s">
        <v>1205</v>
      </c>
      <c r="C19" s="56">
        <v>401</v>
      </c>
      <c r="D19" s="56">
        <v>0</v>
      </c>
      <c r="E19" s="62"/>
    </row>
    <row r="20" spans="1:5" s="24" customFormat="1">
      <c r="A20" s="55"/>
      <c r="B20" s="40"/>
      <c r="C20" s="56"/>
      <c r="D20" s="56"/>
      <c r="E20" s="62"/>
    </row>
    <row r="21" spans="1:5" s="24" customFormat="1">
      <c r="A21" s="55"/>
      <c r="B21" s="40"/>
      <c r="C21" s="56"/>
      <c r="D21" s="56"/>
      <c r="E21" s="6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353"/>
  <sheetViews>
    <sheetView tabSelected="1" topLeftCell="A126" zoomScale="85" zoomScaleNormal="85" workbookViewId="0">
      <selection activeCell="J130" sqref="J130"/>
    </sheetView>
  </sheetViews>
  <sheetFormatPr defaultColWidth="8.7265625" defaultRowHeight="14.5"/>
  <cols>
    <col min="1" max="1" width="7.54296875" style="47" customWidth="1"/>
    <col min="2" max="2" width="9.453125" style="47" customWidth="1"/>
    <col min="3" max="3" width="15.1796875" style="47" customWidth="1"/>
    <col min="4" max="15" width="8.7265625" style="47"/>
    <col min="16" max="16" width="9.1796875" style="53" bestFit="1" customWidth="1"/>
    <col min="17" max="16384" width="8.7265625" style="47"/>
  </cols>
  <sheetData>
    <row r="1" spans="1:16" ht="24" customHeight="1">
      <c r="A1" s="32" t="s">
        <v>119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46"/>
    </row>
    <row r="2" spans="1:16" s="38" customFormat="1" ht="24.65" customHeight="1">
      <c r="A2" s="48" t="s">
        <v>10</v>
      </c>
      <c r="B2" s="49" t="s">
        <v>5</v>
      </c>
      <c r="C2" s="48" t="s">
        <v>1207</v>
      </c>
      <c r="D2" s="50" t="s">
        <v>7</v>
      </c>
      <c r="E2" s="51" t="s">
        <v>8</v>
      </c>
      <c r="F2" s="51" t="s">
        <v>12</v>
      </c>
      <c r="G2" s="51" t="s">
        <v>13</v>
      </c>
      <c r="H2" s="51" t="s">
        <v>109</v>
      </c>
      <c r="I2" s="51" t="s">
        <v>110</v>
      </c>
      <c r="J2" s="51" t="s">
        <v>111</v>
      </c>
      <c r="K2" s="51" t="s">
        <v>112</v>
      </c>
      <c r="L2" s="51" t="s">
        <v>113</v>
      </c>
      <c r="M2" s="51" t="s">
        <v>114</v>
      </c>
      <c r="N2" s="51" t="s">
        <v>115</v>
      </c>
      <c r="O2" s="51" t="s">
        <v>116</v>
      </c>
      <c r="P2" s="52" t="s">
        <v>0</v>
      </c>
    </row>
    <row r="3" spans="1:16" s="38" customFormat="1" ht="19" customHeight="1">
      <c r="A3" s="40">
        <v>1</v>
      </c>
      <c r="B3" s="40" t="s">
        <v>2</v>
      </c>
      <c r="C3" s="116" t="s">
        <v>14</v>
      </c>
      <c r="D3" s="117">
        <v>512</v>
      </c>
      <c r="E3" s="117">
        <v>586</v>
      </c>
      <c r="F3" s="117">
        <v>611</v>
      </c>
      <c r="G3" s="117">
        <v>716</v>
      </c>
      <c r="H3" s="118"/>
      <c r="I3" s="118"/>
      <c r="J3" s="118"/>
      <c r="K3" s="118"/>
      <c r="L3" s="118"/>
      <c r="M3" s="118"/>
      <c r="N3" s="118"/>
      <c r="O3" s="118"/>
      <c r="P3" s="119">
        <v>2425</v>
      </c>
    </row>
    <row r="4" spans="1:16" s="38" customFormat="1">
      <c r="A4" s="40">
        <v>2</v>
      </c>
      <c r="B4" s="40" t="s">
        <v>2</v>
      </c>
      <c r="C4" s="116" t="s">
        <v>15</v>
      </c>
      <c r="D4" s="117">
        <v>557</v>
      </c>
      <c r="E4" s="117">
        <v>529</v>
      </c>
      <c r="F4" s="117">
        <v>562</v>
      </c>
      <c r="G4" s="117">
        <v>690</v>
      </c>
      <c r="H4" s="118"/>
      <c r="I4" s="118"/>
      <c r="J4" s="118"/>
      <c r="K4" s="118"/>
      <c r="L4" s="118"/>
      <c r="M4" s="118"/>
      <c r="N4" s="118"/>
      <c r="O4" s="118"/>
      <c r="P4" s="119">
        <v>2338</v>
      </c>
    </row>
    <row r="5" spans="1:16" s="38" customFormat="1">
      <c r="A5" s="40">
        <v>3</v>
      </c>
      <c r="B5" s="40" t="s">
        <v>2</v>
      </c>
      <c r="C5" s="116" t="s">
        <v>16</v>
      </c>
      <c r="D5" s="117">
        <v>183</v>
      </c>
      <c r="E5" s="117">
        <v>163</v>
      </c>
      <c r="F5" s="117">
        <v>223</v>
      </c>
      <c r="G5" s="117">
        <v>185</v>
      </c>
      <c r="H5" s="118"/>
      <c r="I5" s="118"/>
      <c r="J5" s="118"/>
      <c r="K5" s="118"/>
      <c r="L5" s="118"/>
      <c r="M5" s="118"/>
      <c r="N5" s="118"/>
      <c r="O5" s="118"/>
      <c r="P5" s="119">
        <v>754</v>
      </c>
    </row>
    <row r="6" spans="1:16" s="38" customFormat="1">
      <c r="A6" s="40">
        <v>4</v>
      </c>
      <c r="B6" s="40" t="s">
        <v>2</v>
      </c>
      <c r="C6" s="116" t="s">
        <v>17</v>
      </c>
      <c r="D6" s="117">
        <v>155</v>
      </c>
      <c r="E6" s="117">
        <v>144</v>
      </c>
      <c r="F6" s="117">
        <v>161</v>
      </c>
      <c r="G6" s="117">
        <v>174</v>
      </c>
      <c r="H6" s="118"/>
      <c r="I6" s="118"/>
      <c r="J6" s="118"/>
      <c r="K6" s="118"/>
      <c r="L6" s="118"/>
      <c r="M6" s="118"/>
      <c r="N6" s="118"/>
      <c r="O6" s="118"/>
      <c r="P6" s="119">
        <v>634</v>
      </c>
    </row>
    <row r="7" spans="1:16" s="38" customFormat="1">
      <c r="A7" s="40">
        <v>5</v>
      </c>
      <c r="B7" s="40" t="s">
        <v>2</v>
      </c>
      <c r="C7" s="116" t="s">
        <v>18</v>
      </c>
      <c r="D7" s="117">
        <v>148</v>
      </c>
      <c r="E7" s="117">
        <v>138</v>
      </c>
      <c r="F7" s="117">
        <v>171</v>
      </c>
      <c r="G7" s="117">
        <v>156</v>
      </c>
      <c r="H7" s="118"/>
      <c r="I7" s="118"/>
      <c r="J7" s="118"/>
      <c r="K7" s="118"/>
      <c r="L7" s="118"/>
      <c r="M7" s="118"/>
      <c r="N7" s="118"/>
      <c r="O7" s="118"/>
      <c r="P7" s="119">
        <v>613</v>
      </c>
    </row>
    <row r="8" spans="1:16" s="38" customFormat="1">
      <c r="A8" s="40">
        <v>6</v>
      </c>
      <c r="B8" s="40" t="s">
        <v>2</v>
      </c>
      <c r="C8" s="116" t="s">
        <v>19</v>
      </c>
      <c r="D8" s="117">
        <v>94</v>
      </c>
      <c r="E8" s="117">
        <v>92</v>
      </c>
      <c r="F8" s="117">
        <v>98</v>
      </c>
      <c r="G8" s="117">
        <v>129</v>
      </c>
      <c r="H8" s="118"/>
      <c r="I8" s="118"/>
      <c r="J8" s="118"/>
      <c r="K8" s="118"/>
      <c r="L8" s="118"/>
      <c r="M8" s="118"/>
      <c r="N8" s="118"/>
      <c r="O8" s="118"/>
      <c r="P8" s="119">
        <v>413</v>
      </c>
    </row>
    <row r="9" spans="1:16" s="38" customFormat="1">
      <c r="A9" s="40">
        <v>7</v>
      </c>
      <c r="B9" s="40" t="s">
        <v>2</v>
      </c>
      <c r="C9" s="116" t="s">
        <v>20</v>
      </c>
      <c r="D9" s="117">
        <v>83</v>
      </c>
      <c r="E9" s="117">
        <v>89</v>
      </c>
      <c r="F9" s="117">
        <v>92</v>
      </c>
      <c r="G9" s="117">
        <v>100</v>
      </c>
      <c r="H9" s="118"/>
      <c r="I9" s="118"/>
      <c r="J9" s="118"/>
      <c r="K9" s="118"/>
      <c r="L9" s="118"/>
      <c r="M9" s="118"/>
      <c r="N9" s="118"/>
      <c r="O9" s="118"/>
      <c r="P9" s="119">
        <v>364</v>
      </c>
    </row>
    <row r="10" spans="1:16" s="38" customFormat="1">
      <c r="A10" s="40">
        <v>8</v>
      </c>
      <c r="B10" s="40" t="s">
        <v>2</v>
      </c>
      <c r="C10" s="116" t="s">
        <v>21</v>
      </c>
      <c r="D10" s="117">
        <v>87</v>
      </c>
      <c r="E10" s="117">
        <v>85</v>
      </c>
      <c r="F10" s="117">
        <v>85</v>
      </c>
      <c r="G10" s="117">
        <v>84</v>
      </c>
      <c r="H10" s="118"/>
      <c r="I10" s="118"/>
      <c r="J10" s="118"/>
      <c r="K10" s="118"/>
      <c r="L10" s="118"/>
      <c r="M10" s="118"/>
      <c r="N10" s="118"/>
      <c r="O10" s="118"/>
      <c r="P10" s="119">
        <v>341</v>
      </c>
    </row>
    <row r="11" spans="1:16" s="38" customFormat="1">
      <c r="A11" s="40">
        <v>9</v>
      </c>
      <c r="B11" s="40" t="s">
        <v>2</v>
      </c>
      <c r="C11" s="116" t="s">
        <v>22</v>
      </c>
      <c r="D11" s="117">
        <v>56</v>
      </c>
      <c r="E11" s="117">
        <v>70</v>
      </c>
      <c r="F11" s="117">
        <v>68</v>
      </c>
      <c r="G11" s="117">
        <v>94</v>
      </c>
      <c r="H11" s="118"/>
      <c r="I11" s="118"/>
      <c r="J11" s="118"/>
      <c r="K11" s="118"/>
      <c r="L11" s="118"/>
      <c r="M11" s="118"/>
      <c r="N11" s="118"/>
      <c r="O11" s="118"/>
      <c r="P11" s="119">
        <v>288</v>
      </c>
    </row>
    <row r="12" spans="1:16" s="38" customFormat="1">
      <c r="A12" s="40">
        <v>10</v>
      </c>
      <c r="B12" s="40" t="s">
        <v>2</v>
      </c>
      <c r="C12" s="116" t="s">
        <v>23</v>
      </c>
      <c r="D12" s="117">
        <v>60</v>
      </c>
      <c r="E12" s="117">
        <v>36</v>
      </c>
      <c r="F12" s="117">
        <v>53</v>
      </c>
      <c r="G12" s="117">
        <v>48</v>
      </c>
      <c r="H12" s="118"/>
      <c r="I12" s="118"/>
      <c r="J12" s="118"/>
      <c r="K12" s="118"/>
      <c r="L12" s="118"/>
      <c r="M12" s="118"/>
      <c r="N12" s="118"/>
      <c r="O12" s="118"/>
      <c r="P12" s="119">
        <v>197</v>
      </c>
    </row>
    <row r="13" spans="1:16" s="38" customFormat="1">
      <c r="A13" s="40">
        <v>11</v>
      </c>
      <c r="B13" s="40" t="s">
        <v>2</v>
      </c>
      <c r="C13" s="116" t="s">
        <v>24</v>
      </c>
      <c r="D13" s="117">
        <v>60</v>
      </c>
      <c r="E13" s="117">
        <v>36</v>
      </c>
      <c r="F13" s="117">
        <v>54</v>
      </c>
      <c r="G13" s="117">
        <v>32</v>
      </c>
      <c r="H13" s="118"/>
      <c r="I13" s="118"/>
      <c r="J13" s="118"/>
      <c r="K13" s="118"/>
      <c r="L13" s="118"/>
      <c r="M13" s="118"/>
      <c r="N13" s="118"/>
      <c r="O13" s="118"/>
      <c r="P13" s="119">
        <v>182</v>
      </c>
    </row>
    <row r="14" spans="1:16" s="38" customFormat="1">
      <c r="A14" s="40">
        <v>12</v>
      </c>
      <c r="B14" s="40" t="s">
        <v>2</v>
      </c>
      <c r="C14" s="116" t="s">
        <v>25</v>
      </c>
      <c r="D14" s="117">
        <v>48</v>
      </c>
      <c r="E14" s="117">
        <v>34</v>
      </c>
      <c r="F14" s="117">
        <v>44</v>
      </c>
      <c r="G14" s="117">
        <v>38</v>
      </c>
      <c r="H14" s="118"/>
      <c r="I14" s="118"/>
      <c r="J14" s="118"/>
      <c r="K14" s="118"/>
      <c r="L14" s="118"/>
      <c r="M14" s="118"/>
      <c r="N14" s="118"/>
      <c r="O14" s="118"/>
      <c r="P14" s="119">
        <v>164</v>
      </c>
    </row>
    <row r="15" spans="1:16" s="38" customFormat="1">
      <c r="A15" s="40">
        <v>13</v>
      </c>
      <c r="B15" s="40" t="s">
        <v>2</v>
      </c>
      <c r="C15" s="116" t="s">
        <v>26</v>
      </c>
      <c r="D15" s="117">
        <v>37</v>
      </c>
      <c r="E15" s="117">
        <v>41</v>
      </c>
      <c r="F15" s="117">
        <v>31</v>
      </c>
      <c r="G15" s="117">
        <v>28</v>
      </c>
      <c r="H15" s="118"/>
      <c r="I15" s="118"/>
      <c r="J15" s="118"/>
      <c r="K15" s="118"/>
      <c r="L15" s="118"/>
      <c r="M15" s="118"/>
      <c r="N15" s="118"/>
      <c r="O15" s="118"/>
      <c r="P15" s="119">
        <v>137</v>
      </c>
    </row>
    <row r="16" spans="1:16" s="38" customFormat="1">
      <c r="A16" s="40">
        <v>14</v>
      </c>
      <c r="B16" s="40" t="s">
        <v>2</v>
      </c>
      <c r="C16" s="116" t="s">
        <v>27</v>
      </c>
      <c r="D16" s="117">
        <v>31</v>
      </c>
      <c r="E16" s="117">
        <v>36</v>
      </c>
      <c r="F16" s="117">
        <v>26</v>
      </c>
      <c r="G16" s="117">
        <v>30</v>
      </c>
      <c r="H16" s="118"/>
      <c r="I16" s="118"/>
      <c r="J16" s="118"/>
      <c r="K16" s="118"/>
      <c r="L16" s="118"/>
      <c r="M16" s="118"/>
      <c r="N16" s="118"/>
      <c r="O16" s="118"/>
      <c r="P16" s="119">
        <v>123</v>
      </c>
    </row>
    <row r="17" spans="1:16" s="38" customFormat="1">
      <c r="A17" s="40">
        <v>15</v>
      </c>
      <c r="B17" s="40" t="s">
        <v>2</v>
      </c>
      <c r="C17" s="116" t="s">
        <v>28</v>
      </c>
      <c r="D17" s="117">
        <v>22</v>
      </c>
      <c r="E17" s="117">
        <v>24</v>
      </c>
      <c r="F17" s="117">
        <v>29</v>
      </c>
      <c r="G17" s="117">
        <v>26</v>
      </c>
      <c r="H17" s="118"/>
      <c r="I17" s="118"/>
      <c r="J17" s="118"/>
      <c r="K17" s="118"/>
      <c r="L17" s="118"/>
      <c r="M17" s="118"/>
      <c r="N17" s="118"/>
      <c r="O17" s="118"/>
      <c r="P17" s="119">
        <v>101</v>
      </c>
    </row>
    <row r="18" spans="1:16" s="38" customFormat="1">
      <c r="A18" s="40">
        <v>16</v>
      </c>
      <c r="B18" s="40" t="s">
        <v>2</v>
      </c>
      <c r="C18" s="116" t="s">
        <v>29</v>
      </c>
      <c r="D18" s="117">
        <v>1</v>
      </c>
      <c r="E18" s="117">
        <v>6</v>
      </c>
      <c r="F18" s="117">
        <v>60</v>
      </c>
      <c r="G18" s="117">
        <v>39</v>
      </c>
      <c r="H18" s="118"/>
      <c r="I18" s="118"/>
      <c r="J18" s="118"/>
      <c r="K18" s="118"/>
      <c r="L18" s="118"/>
      <c r="M18" s="118"/>
      <c r="N18" s="118"/>
      <c r="O18" s="118"/>
      <c r="P18" s="119">
        <v>106</v>
      </c>
    </row>
    <row r="19" spans="1:16" s="38" customFormat="1">
      <c r="A19" s="40">
        <v>17</v>
      </c>
      <c r="B19" s="40" t="s">
        <v>2</v>
      </c>
      <c r="C19" s="116" t="s">
        <v>30</v>
      </c>
      <c r="D19" s="117">
        <v>22</v>
      </c>
      <c r="E19" s="117">
        <v>29</v>
      </c>
      <c r="F19" s="117">
        <v>27</v>
      </c>
      <c r="G19" s="117">
        <v>28</v>
      </c>
      <c r="H19" s="118"/>
      <c r="I19" s="118"/>
      <c r="J19" s="118"/>
      <c r="K19" s="118"/>
      <c r="L19" s="118"/>
      <c r="M19" s="118"/>
      <c r="N19" s="118"/>
      <c r="O19" s="118"/>
      <c r="P19" s="119">
        <v>106</v>
      </c>
    </row>
    <row r="20" spans="1:16" s="38" customFormat="1">
      <c r="A20" s="40">
        <v>18</v>
      </c>
      <c r="B20" s="40" t="s">
        <v>2</v>
      </c>
      <c r="C20" s="116" t="s">
        <v>31</v>
      </c>
      <c r="D20" s="117">
        <v>20</v>
      </c>
      <c r="E20" s="117">
        <v>21</v>
      </c>
      <c r="F20" s="117">
        <v>19</v>
      </c>
      <c r="G20" s="117">
        <v>24</v>
      </c>
      <c r="H20" s="118"/>
      <c r="I20" s="118"/>
      <c r="J20" s="118"/>
      <c r="K20" s="118"/>
      <c r="L20" s="118"/>
      <c r="M20" s="118"/>
      <c r="N20" s="118"/>
      <c r="O20" s="118"/>
      <c r="P20" s="119">
        <v>84</v>
      </c>
    </row>
    <row r="21" spans="1:16" s="38" customFormat="1">
      <c r="A21" s="40">
        <v>19</v>
      </c>
      <c r="B21" s="40" t="s">
        <v>2</v>
      </c>
      <c r="C21" s="116" t="s">
        <v>32</v>
      </c>
      <c r="D21" s="117">
        <v>17</v>
      </c>
      <c r="E21" s="117">
        <v>19</v>
      </c>
      <c r="F21" s="117">
        <v>19</v>
      </c>
      <c r="G21" s="117">
        <v>20</v>
      </c>
      <c r="H21" s="118"/>
      <c r="I21" s="118"/>
      <c r="J21" s="118"/>
      <c r="K21" s="118"/>
      <c r="L21" s="118"/>
      <c r="M21" s="118"/>
      <c r="N21" s="118"/>
      <c r="O21" s="118"/>
      <c r="P21" s="119">
        <v>75</v>
      </c>
    </row>
    <row r="22" spans="1:16" s="38" customFormat="1">
      <c r="A22" s="40">
        <v>20</v>
      </c>
      <c r="B22" s="40" t="s">
        <v>2</v>
      </c>
      <c r="C22" s="116" t="s">
        <v>33</v>
      </c>
      <c r="D22" s="117">
        <v>13</v>
      </c>
      <c r="E22" s="117">
        <v>28</v>
      </c>
      <c r="F22" s="117">
        <v>23</v>
      </c>
      <c r="G22" s="117">
        <v>16</v>
      </c>
      <c r="H22" s="118"/>
      <c r="I22" s="118"/>
      <c r="J22" s="118"/>
      <c r="K22" s="118"/>
      <c r="L22" s="118"/>
      <c r="M22" s="118"/>
      <c r="N22" s="118"/>
      <c r="O22" s="118"/>
      <c r="P22" s="119">
        <v>80</v>
      </c>
    </row>
    <row r="23" spans="1:16" s="38" customFormat="1">
      <c r="A23" s="40">
        <v>21</v>
      </c>
      <c r="B23" s="40" t="s">
        <v>2</v>
      </c>
      <c r="C23" s="116" t="s">
        <v>34</v>
      </c>
      <c r="D23" s="117">
        <v>22</v>
      </c>
      <c r="E23" s="117">
        <v>17</v>
      </c>
      <c r="F23" s="117">
        <v>18</v>
      </c>
      <c r="G23" s="117">
        <v>18</v>
      </c>
      <c r="H23" s="118"/>
      <c r="I23" s="118"/>
      <c r="J23" s="118"/>
      <c r="K23" s="118"/>
      <c r="L23" s="118"/>
      <c r="M23" s="118"/>
      <c r="N23" s="118"/>
      <c r="O23" s="118"/>
      <c r="P23" s="119">
        <v>75</v>
      </c>
    </row>
    <row r="24" spans="1:16" s="38" customFormat="1">
      <c r="A24" s="40">
        <v>22</v>
      </c>
      <c r="B24" s="40" t="s">
        <v>2</v>
      </c>
      <c r="C24" s="116" t="s">
        <v>35</v>
      </c>
      <c r="D24" s="117">
        <v>26</v>
      </c>
      <c r="E24" s="117">
        <v>24</v>
      </c>
      <c r="F24" s="117">
        <v>16</v>
      </c>
      <c r="G24" s="117">
        <v>11</v>
      </c>
      <c r="H24" s="118"/>
      <c r="I24" s="118"/>
      <c r="J24" s="118"/>
      <c r="K24" s="118"/>
      <c r="L24" s="118"/>
      <c r="M24" s="118"/>
      <c r="N24" s="118"/>
      <c r="O24" s="118"/>
      <c r="P24" s="119">
        <v>77</v>
      </c>
    </row>
    <row r="25" spans="1:16" s="38" customFormat="1">
      <c r="A25" s="40">
        <v>23</v>
      </c>
      <c r="B25" s="40" t="s">
        <v>2</v>
      </c>
      <c r="C25" s="116" t="s">
        <v>36</v>
      </c>
      <c r="D25" s="117">
        <v>18</v>
      </c>
      <c r="E25" s="117">
        <v>12</v>
      </c>
      <c r="F25" s="117">
        <v>12</v>
      </c>
      <c r="G25" s="117">
        <v>27</v>
      </c>
      <c r="H25" s="118"/>
      <c r="I25" s="118"/>
      <c r="J25" s="118"/>
      <c r="K25" s="118"/>
      <c r="L25" s="118"/>
      <c r="M25" s="118"/>
      <c r="N25" s="118"/>
      <c r="O25" s="118"/>
      <c r="P25" s="119">
        <v>69</v>
      </c>
    </row>
    <row r="26" spans="1:16" s="38" customFormat="1">
      <c r="A26" s="40">
        <v>24</v>
      </c>
      <c r="B26" s="40" t="s">
        <v>2</v>
      </c>
      <c r="C26" s="116" t="s">
        <v>37</v>
      </c>
      <c r="D26" s="117">
        <v>12</v>
      </c>
      <c r="E26" s="117">
        <v>16</v>
      </c>
      <c r="F26" s="117">
        <v>11</v>
      </c>
      <c r="G26" s="117">
        <v>15</v>
      </c>
      <c r="H26" s="118"/>
      <c r="I26" s="118"/>
      <c r="J26" s="118"/>
      <c r="K26" s="118"/>
      <c r="L26" s="118"/>
      <c r="M26" s="118"/>
      <c r="N26" s="118"/>
      <c r="O26" s="118"/>
      <c r="P26" s="119">
        <v>54</v>
      </c>
    </row>
    <row r="27" spans="1:16" s="38" customFormat="1">
      <c r="A27" s="40">
        <v>25</v>
      </c>
      <c r="B27" s="40" t="s">
        <v>2</v>
      </c>
      <c r="C27" s="116" t="s">
        <v>38</v>
      </c>
      <c r="D27" s="117">
        <v>6</v>
      </c>
      <c r="E27" s="117">
        <v>11</v>
      </c>
      <c r="F27" s="117">
        <v>17</v>
      </c>
      <c r="G27" s="117">
        <v>17</v>
      </c>
      <c r="H27" s="118"/>
      <c r="I27" s="118"/>
      <c r="J27" s="118"/>
      <c r="K27" s="118"/>
      <c r="L27" s="118"/>
      <c r="M27" s="118"/>
      <c r="N27" s="118"/>
      <c r="O27" s="118"/>
      <c r="P27" s="119">
        <v>51</v>
      </c>
    </row>
    <row r="28" spans="1:16" s="38" customFormat="1">
      <c r="A28" s="40">
        <v>26</v>
      </c>
      <c r="B28" s="40" t="s">
        <v>2</v>
      </c>
      <c r="C28" s="116" t="s">
        <v>39</v>
      </c>
      <c r="D28" s="117">
        <v>16</v>
      </c>
      <c r="E28" s="117">
        <v>17</v>
      </c>
      <c r="F28" s="117">
        <v>12</v>
      </c>
      <c r="G28" s="117">
        <v>5</v>
      </c>
      <c r="H28" s="118"/>
      <c r="I28" s="118"/>
      <c r="J28" s="118"/>
      <c r="K28" s="118"/>
      <c r="L28" s="118"/>
      <c r="M28" s="118"/>
      <c r="N28" s="118"/>
      <c r="O28" s="118"/>
      <c r="P28" s="119">
        <v>50</v>
      </c>
    </row>
    <row r="29" spans="1:16" s="38" customFormat="1">
      <c r="A29" s="40">
        <v>27</v>
      </c>
      <c r="B29" s="40" t="s">
        <v>2</v>
      </c>
      <c r="C29" s="116" t="s">
        <v>40</v>
      </c>
      <c r="D29" s="117">
        <v>8</v>
      </c>
      <c r="E29" s="117">
        <v>15</v>
      </c>
      <c r="F29" s="117">
        <v>9</v>
      </c>
      <c r="G29" s="117">
        <v>17</v>
      </c>
      <c r="H29" s="118"/>
      <c r="I29" s="118"/>
      <c r="J29" s="118"/>
      <c r="K29" s="118"/>
      <c r="L29" s="118"/>
      <c r="M29" s="118"/>
      <c r="N29" s="118"/>
      <c r="O29" s="118"/>
      <c r="P29" s="119">
        <v>49</v>
      </c>
    </row>
    <row r="30" spans="1:16" s="38" customFormat="1">
      <c r="A30" s="40">
        <v>28</v>
      </c>
      <c r="B30" s="40" t="s">
        <v>2</v>
      </c>
      <c r="C30" s="116" t="s">
        <v>41</v>
      </c>
      <c r="D30" s="117">
        <v>10</v>
      </c>
      <c r="E30" s="117">
        <v>10</v>
      </c>
      <c r="F30" s="117">
        <v>12</v>
      </c>
      <c r="G30" s="117">
        <v>15</v>
      </c>
      <c r="H30" s="118"/>
      <c r="I30" s="118"/>
      <c r="J30" s="118"/>
      <c r="K30" s="118"/>
      <c r="L30" s="118"/>
      <c r="M30" s="118"/>
      <c r="N30" s="118"/>
      <c r="O30" s="118"/>
      <c r="P30" s="119">
        <v>47</v>
      </c>
    </row>
    <row r="31" spans="1:16" s="38" customFormat="1">
      <c r="A31" s="40">
        <v>29</v>
      </c>
      <c r="B31" s="40" t="s">
        <v>2</v>
      </c>
      <c r="C31" s="116" t="s">
        <v>42</v>
      </c>
      <c r="D31" s="117">
        <v>10</v>
      </c>
      <c r="E31" s="117">
        <v>12</v>
      </c>
      <c r="F31" s="117">
        <v>17</v>
      </c>
      <c r="G31" s="117">
        <v>5</v>
      </c>
      <c r="H31" s="118"/>
      <c r="I31" s="118"/>
      <c r="J31" s="118"/>
      <c r="K31" s="118"/>
      <c r="L31" s="118"/>
      <c r="M31" s="118"/>
      <c r="N31" s="118"/>
      <c r="O31" s="118"/>
      <c r="P31" s="119">
        <v>44</v>
      </c>
    </row>
    <row r="32" spans="1:16" s="38" customFormat="1">
      <c r="A32" s="40">
        <v>30</v>
      </c>
      <c r="B32" s="40" t="s">
        <v>2</v>
      </c>
      <c r="C32" s="116" t="s">
        <v>43</v>
      </c>
      <c r="D32" s="117">
        <v>17</v>
      </c>
      <c r="E32" s="117">
        <v>11</v>
      </c>
      <c r="F32" s="117">
        <v>8</v>
      </c>
      <c r="G32" s="117">
        <v>7</v>
      </c>
      <c r="H32" s="118"/>
      <c r="I32" s="118"/>
      <c r="J32" s="118"/>
      <c r="K32" s="118"/>
      <c r="L32" s="118"/>
      <c r="M32" s="118"/>
      <c r="N32" s="118"/>
      <c r="O32" s="118"/>
      <c r="P32" s="119">
        <v>43</v>
      </c>
    </row>
    <row r="33" spans="1:16" s="38" customFormat="1">
      <c r="A33" s="40">
        <v>31</v>
      </c>
      <c r="B33" s="40" t="s">
        <v>2</v>
      </c>
      <c r="C33" s="116" t="s">
        <v>44</v>
      </c>
      <c r="D33" s="117">
        <v>12</v>
      </c>
      <c r="E33" s="117">
        <v>12</v>
      </c>
      <c r="F33" s="117">
        <v>10</v>
      </c>
      <c r="G33" s="117">
        <v>8</v>
      </c>
      <c r="H33" s="118"/>
      <c r="I33" s="118"/>
      <c r="J33" s="118"/>
      <c r="K33" s="118"/>
      <c r="L33" s="118"/>
      <c r="M33" s="118"/>
      <c r="N33" s="118"/>
      <c r="O33" s="118"/>
      <c r="P33" s="119">
        <v>42</v>
      </c>
    </row>
    <row r="34" spans="1:16" s="38" customFormat="1">
      <c r="A34" s="40">
        <v>32</v>
      </c>
      <c r="B34" s="40" t="s">
        <v>2</v>
      </c>
      <c r="C34" s="116" t="s">
        <v>45</v>
      </c>
      <c r="D34" s="117">
        <v>9</v>
      </c>
      <c r="E34" s="117">
        <v>8</v>
      </c>
      <c r="F34" s="117">
        <v>10</v>
      </c>
      <c r="G34" s="117">
        <v>11</v>
      </c>
      <c r="H34" s="118"/>
      <c r="I34" s="118"/>
      <c r="J34" s="118"/>
      <c r="K34" s="118"/>
      <c r="L34" s="118"/>
      <c r="M34" s="118"/>
      <c r="N34" s="118"/>
      <c r="O34" s="118"/>
      <c r="P34" s="119">
        <v>38</v>
      </c>
    </row>
    <row r="35" spans="1:16" s="38" customFormat="1">
      <c r="A35" s="40">
        <v>33</v>
      </c>
      <c r="B35" s="40" t="s">
        <v>2</v>
      </c>
      <c r="C35" s="116" t="s">
        <v>46</v>
      </c>
      <c r="D35" s="117">
        <v>6</v>
      </c>
      <c r="E35" s="117">
        <v>7</v>
      </c>
      <c r="F35" s="117">
        <v>10</v>
      </c>
      <c r="G35" s="117">
        <v>15</v>
      </c>
      <c r="H35" s="118"/>
      <c r="I35" s="118"/>
      <c r="J35" s="118"/>
      <c r="K35" s="118"/>
      <c r="L35" s="118"/>
      <c r="M35" s="118"/>
      <c r="N35" s="118"/>
      <c r="O35" s="118"/>
      <c r="P35" s="119">
        <v>38</v>
      </c>
    </row>
    <row r="36" spans="1:16" s="38" customFormat="1">
      <c r="A36" s="40">
        <v>34</v>
      </c>
      <c r="B36" s="40" t="s">
        <v>2</v>
      </c>
      <c r="C36" s="116" t="s">
        <v>47</v>
      </c>
      <c r="D36" s="117">
        <v>8</v>
      </c>
      <c r="E36" s="117">
        <v>7</v>
      </c>
      <c r="F36" s="117">
        <v>9</v>
      </c>
      <c r="G36" s="117">
        <v>12</v>
      </c>
      <c r="H36" s="118"/>
      <c r="I36" s="118"/>
      <c r="J36" s="118"/>
      <c r="K36" s="118"/>
      <c r="L36" s="118"/>
      <c r="M36" s="118"/>
      <c r="N36" s="118"/>
      <c r="O36" s="118"/>
      <c r="P36" s="119">
        <v>36</v>
      </c>
    </row>
    <row r="37" spans="1:16" s="38" customFormat="1">
      <c r="A37" s="40">
        <v>35</v>
      </c>
      <c r="B37" s="40" t="s">
        <v>2</v>
      </c>
      <c r="C37" s="116" t="s">
        <v>48</v>
      </c>
      <c r="D37" s="117">
        <v>6</v>
      </c>
      <c r="E37" s="117">
        <v>11</v>
      </c>
      <c r="F37" s="117">
        <v>7</v>
      </c>
      <c r="G37" s="117">
        <v>10</v>
      </c>
      <c r="H37" s="118"/>
      <c r="I37" s="118"/>
      <c r="J37" s="118"/>
      <c r="K37" s="118"/>
      <c r="L37" s="118"/>
      <c r="M37" s="118"/>
      <c r="N37" s="118"/>
      <c r="O37" s="118"/>
      <c r="P37" s="119">
        <v>34</v>
      </c>
    </row>
    <row r="38" spans="1:16" s="38" customFormat="1">
      <c r="A38" s="40">
        <v>36</v>
      </c>
      <c r="B38" s="40" t="s">
        <v>2</v>
      </c>
      <c r="C38" s="116" t="s">
        <v>49</v>
      </c>
      <c r="D38" s="117">
        <v>8</v>
      </c>
      <c r="E38" s="117">
        <v>7</v>
      </c>
      <c r="F38" s="117">
        <v>9</v>
      </c>
      <c r="G38" s="117">
        <v>8</v>
      </c>
      <c r="H38" s="118"/>
      <c r="I38" s="118"/>
      <c r="J38" s="118"/>
      <c r="K38" s="118"/>
      <c r="L38" s="118"/>
      <c r="M38" s="118"/>
      <c r="N38" s="118"/>
      <c r="O38" s="118"/>
      <c r="P38" s="119">
        <v>32</v>
      </c>
    </row>
    <row r="39" spans="1:16" s="38" customFormat="1">
      <c r="A39" s="40">
        <v>37</v>
      </c>
      <c r="B39" s="40" t="s">
        <v>2</v>
      </c>
      <c r="C39" s="116" t="s">
        <v>50</v>
      </c>
      <c r="D39" s="117">
        <v>7</v>
      </c>
      <c r="E39" s="117">
        <v>10</v>
      </c>
      <c r="F39" s="117">
        <v>8</v>
      </c>
      <c r="G39" s="117">
        <v>5</v>
      </c>
      <c r="H39" s="118"/>
      <c r="I39" s="118"/>
      <c r="J39" s="118"/>
      <c r="K39" s="118"/>
      <c r="L39" s="118"/>
      <c r="M39" s="118"/>
      <c r="N39" s="118"/>
      <c r="O39" s="118"/>
      <c r="P39" s="119">
        <v>30</v>
      </c>
    </row>
    <row r="40" spans="1:16" s="38" customFormat="1">
      <c r="A40" s="40">
        <v>38</v>
      </c>
      <c r="B40" s="40" t="s">
        <v>2</v>
      </c>
      <c r="C40" s="116" t="s">
        <v>51</v>
      </c>
      <c r="D40" s="117">
        <v>8</v>
      </c>
      <c r="E40" s="117">
        <v>4</v>
      </c>
      <c r="F40" s="117">
        <v>10</v>
      </c>
      <c r="G40" s="117">
        <v>7</v>
      </c>
      <c r="H40" s="118"/>
      <c r="I40" s="118"/>
      <c r="J40" s="118"/>
      <c r="K40" s="118"/>
      <c r="L40" s="118"/>
      <c r="M40" s="118"/>
      <c r="N40" s="118"/>
      <c r="O40" s="118"/>
      <c r="P40" s="119">
        <v>29</v>
      </c>
    </row>
    <row r="41" spans="1:16" s="38" customFormat="1">
      <c r="A41" s="40">
        <v>39</v>
      </c>
      <c r="B41" s="40" t="s">
        <v>2</v>
      </c>
      <c r="C41" s="116" t="s">
        <v>52</v>
      </c>
      <c r="D41" s="117">
        <v>9</v>
      </c>
      <c r="E41" s="117">
        <v>12</v>
      </c>
      <c r="F41" s="117">
        <v>2</v>
      </c>
      <c r="G41" s="117">
        <v>2</v>
      </c>
      <c r="H41" s="118"/>
      <c r="I41" s="118"/>
      <c r="J41" s="118"/>
      <c r="K41" s="118"/>
      <c r="L41" s="118"/>
      <c r="M41" s="118"/>
      <c r="N41" s="118"/>
      <c r="O41" s="118"/>
      <c r="P41" s="119">
        <v>25</v>
      </c>
    </row>
    <row r="42" spans="1:16" s="38" customFormat="1">
      <c r="A42" s="40">
        <v>40</v>
      </c>
      <c r="B42" s="40" t="s">
        <v>2</v>
      </c>
      <c r="C42" s="116" t="s">
        <v>53</v>
      </c>
      <c r="D42" s="117">
        <v>5</v>
      </c>
      <c r="E42" s="117">
        <v>7</v>
      </c>
      <c r="F42" s="117">
        <v>6</v>
      </c>
      <c r="G42" s="117">
        <v>5</v>
      </c>
      <c r="H42" s="118"/>
      <c r="I42" s="118"/>
      <c r="J42" s="118"/>
      <c r="K42" s="118"/>
      <c r="L42" s="118"/>
      <c r="M42" s="118"/>
      <c r="N42" s="118"/>
      <c r="O42" s="118"/>
      <c r="P42" s="119">
        <v>23</v>
      </c>
    </row>
    <row r="43" spans="1:16" s="38" customFormat="1">
      <c r="A43" s="40">
        <v>41</v>
      </c>
      <c r="B43" s="40" t="s">
        <v>2</v>
      </c>
      <c r="C43" s="116" t="s">
        <v>54</v>
      </c>
      <c r="D43" s="117">
        <v>15</v>
      </c>
      <c r="E43" s="117">
        <v>2</v>
      </c>
      <c r="F43" s="117">
        <v>6</v>
      </c>
      <c r="G43" s="117">
        <v>1</v>
      </c>
      <c r="H43" s="118"/>
      <c r="I43" s="118"/>
      <c r="J43" s="118"/>
      <c r="K43" s="118"/>
      <c r="L43" s="118"/>
      <c r="M43" s="118"/>
      <c r="N43" s="118"/>
      <c r="O43" s="118"/>
      <c r="P43" s="119">
        <v>24</v>
      </c>
    </row>
    <row r="44" spans="1:16" s="38" customFormat="1">
      <c r="A44" s="40">
        <v>42</v>
      </c>
      <c r="B44" s="40" t="s">
        <v>2</v>
      </c>
      <c r="C44" s="116" t="s">
        <v>55</v>
      </c>
      <c r="D44" s="117">
        <v>4</v>
      </c>
      <c r="E44" s="117">
        <v>3</v>
      </c>
      <c r="F44" s="117">
        <v>7</v>
      </c>
      <c r="G44" s="117">
        <v>8</v>
      </c>
      <c r="H44" s="118"/>
      <c r="I44" s="118"/>
      <c r="J44" s="118"/>
      <c r="K44" s="118"/>
      <c r="L44" s="118"/>
      <c r="M44" s="118"/>
      <c r="N44" s="118"/>
      <c r="O44" s="118"/>
      <c r="P44" s="119">
        <v>22</v>
      </c>
    </row>
    <row r="45" spans="1:16" s="38" customFormat="1">
      <c r="A45" s="40">
        <v>43</v>
      </c>
      <c r="B45" s="40" t="s">
        <v>2</v>
      </c>
      <c r="C45" s="116" t="s">
        <v>56</v>
      </c>
      <c r="D45" s="117">
        <v>4</v>
      </c>
      <c r="E45" s="117">
        <v>5</v>
      </c>
      <c r="F45" s="117">
        <v>9</v>
      </c>
      <c r="G45" s="117">
        <v>3</v>
      </c>
      <c r="H45" s="118"/>
      <c r="I45" s="118"/>
      <c r="J45" s="118"/>
      <c r="K45" s="118"/>
      <c r="L45" s="118"/>
      <c r="M45" s="118"/>
      <c r="N45" s="118"/>
      <c r="O45" s="118"/>
      <c r="P45" s="119">
        <v>21</v>
      </c>
    </row>
    <row r="46" spans="1:16" s="38" customFormat="1">
      <c r="A46" s="40">
        <v>44</v>
      </c>
      <c r="B46" s="40" t="s">
        <v>2</v>
      </c>
      <c r="C46" s="116" t="s">
        <v>57</v>
      </c>
      <c r="D46" s="117">
        <v>6</v>
      </c>
      <c r="E46" s="117">
        <v>2</v>
      </c>
      <c r="F46" s="117">
        <v>3</v>
      </c>
      <c r="G46" s="117">
        <v>9</v>
      </c>
      <c r="H46" s="118"/>
      <c r="I46" s="118"/>
      <c r="J46" s="118"/>
      <c r="K46" s="118"/>
      <c r="L46" s="118"/>
      <c r="M46" s="118"/>
      <c r="N46" s="118"/>
      <c r="O46" s="118"/>
      <c r="P46" s="119">
        <v>20</v>
      </c>
    </row>
    <row r="47" spans="1:16" s="38" customFormat="1">
      <c r="A47" s="40">
        <v>45</v>
      </c>
      <c r="B47" s="40" t="s">
        <v>2</v>
      </c>
      <c r="C47" s="116" t="s">
        <v>58</v>
      </c>
      <c r="D47" s="117">
        <v>3</v>
      </c>
      <c r="E47" s="117">
        <v>3</v>
      </c>
      <c r="F47" s="117">
        <v>7</v>
      </c>
      <c r="G47" s="117">
        <v>6</v>
      </c>
      <c r="H47" s="118"/>
      <c r="I47" s="118"/>
      <c r="J47" s="118"/>
      <c r="K47" s="118"/>
      <c r="L47" s="118"/>
      <c r="M47" s="118"/>
      <c r="N47" s="118"/>
      <c r="O47" s="118"/>
      <c r="P47" s="119">
        <v>19</v>
      </c>
    </row>
    <row r="48" spans="1:16" s="38" customFormat="1">
      <c r="A48" s="40">
        <v>46</v>
      </c>
      <c r="B48" s="40" t="s">
        <v>2</v>
      </c>
      <c r="C48" s="116" t="s">
        <v>59</v>
      </c>
      <c r="D48" s="117">
        <v>2</v>
      </c>
      <c r="E48" s="117">
        <v>6</v>
      </c>
      <c r="F48" s="117">
        <v>4</v>
      </c>
      <c r="G48" s="117">
        <v>6</v>
      </c>
      <c r="H48" s="118"/>
      <c r="I48" s="118"/>
      <c r="J48" s="118"/>
      <c r="K48" s="118"/>
      <c r="L48" s="118"/>
      <c r="M48" s="118"/>
      <c r="N48" s="118"/>
      <c r="O48" s="118"/>
      <c r="P48" s="119">
        <v>18</v>
      </c>
    </row>
    <row r="49" spans="1:16" s="38" customFormat="1">
      <c r="A49" s="40">
        <v>47</v>
      </c>
      <c r="B49" s="40" t="s">
        <v>2</v>
      </c>
      <c r="C49" s="116" t="s">
        <v>60</v>
      </c>
      <c r="D49" s="117">
        <v>7</v>
      </c>
      <c r="E49" s="117">
        <v>3</v>
      </c>
      <c r="F49" s="117">
        <v>5</v>
      </c>
      <c r="G49" s="117">
        <v>3</v>
      </c>
      <c r="H49" s="118"/>
      <c r="I49" s="118"/>
      <c r="J49" s="118"/>
      <c r="K49" s="118"/>
      <c r="L49" s="118"/>
      <c r="M49" s="118"/>
      <c r="N49" s="118"/>
      <c r="O49" s="118"/>
      <c r="P49" s="119">
        <v>18</v>
      </c>
    </row>
    <row r="50" spans="1:16" s="38" customFormat="1">
      <c r="A50" s="40">
        <v>48</v>
      </c>
      <c r="B50" s="40" t="s">
        <v>2</v>
      </c>
      <c r="C50" s="116" t="s">
        <v>61</v>
      </c>
      <c r="D50" s="117">
        <v>5</v>
      </c>
      <c r="E50" s="117">
        <v>4</v>
      </c>
      <c r="F50" s="117">
        <v>4</v>
      </c>
      <c r="G50" s="117">
        <v>5</v>
      </c>
      <c r="H50" s="118"/>
      <c r="I50" s="118"/>
      <c r="J50" s="118"/>
      <c r="K50" s="118"/>
      <c r="L50" s="118"/>
      <c r="M50" s="118"/>
      <c r="N50" s="118"/>
      <c r="O50" s="118"/>
      <c r="P50" s="119">
        <v>18</v>
      </c>
    </row>
    <row r="51" spans="1:16" s="38" customFormat="1">
      <c r="A51" s="40">
        <v>49</v>
      </c>
      <c r="B51" s="40" t="s">
        <v>2</v>
      </c>
      <c r="C51" s="116" t="s">
        <v>62</v>
      </c>
      <c r="D51" s="117">
        <v>5</v>
      </c>
      <c r="E51" s="117">
        <v>4</v>
      </c>
      <c r="F51" s="117">
        <v>5</v>
      </c>
      <c r="G51" s="117">
        <v>3</v>
      </c>
      <c r="H51" s="118"/>
      <c r="I51" s="118"/>
      <c r="J51" s="118"/>
      <c r="K51" s="118"/>
      <c r="L51" s="118"/>
      <c r="M51" s="118"/>
      <c r="N51" s="118"/>
      <c r="O51" s="118"/>
      <c r="P51" s="119">
        <v>17</v>
      </c>
    </row>
    <row r="52" spans="1:16" s="38" customFormat="1">
      <c r="A52" s="40">
        <v>50</v>
      </c>
      <c r="B52" s="40" t="s">
        <v>2</v>
      </c>
      <c r="C52" s="116" t="s">
        <v>63</v>
      </c>
      <c r="D52" s="117">
        <v>1</v>
      </c>
      <c r="E52" s="117">
        <v>5</v>
      </c>
      <c r="F52" s="117">
        <v>4</v>
      </c>
      <c r="G52" s="117">
        <v>5</v>
      </c>
      <c r="H52" s="118"/>
      <c r="I52" s="118"/>
      <c r="J52" s="118"/>
      <c r="K52" s="118"/>
      <c r="L52" s="118"/>
      <c r="M52" s="118"/>
      <c r="N52" s="118"/>
      <c r="O52" s="118"/>
      <c r="P52" s="119">
        <v>15</v>
      </c>
    </row>
    <row r="53" spans="1:16" s="38" customFormat="1">
      <c r="A53" s="40">
        <v>51</v>
      </c>
      <c r="B53" s="40" t="s">
        <v>2</v>
      </c>
      <c r="C53" s="116" t="s">
        <v>64</v>
      </c>
      <c r="D53" s="117">
        <v>6</v>
      </c>
      <c r="E53" s="117">
        <v>2</v>
      </c>
      <c r="F53" s="117">
        <v>5</v>
      </c>
      <c r="G53" s="117"/>
      <c r="H53" s="118"/>
      <c r="I53" s="118"/>
      <c r="J53" s="118"/>
      <c r="K53" s="118"/>
      <c r="L53" s="118"/>
      <c r="M53" s="118"/>
      <c r="N53" s="118"/>
      <c r="O53" s="118"/>
      <c r="P53" s="119">
        <v>13</v>
      </c>
    </row>
    <row r="54" spans="1:16" s="38" customFormat="1">
      <c r="A54" s="40">
        <v>52</v>
      </c>
      <c r="B54" s="40" t="s">
        <v>2</v>
      </c>
      <c r="C54" s="116" t="s">
        <v>65</v>
      </c>
      <c r="D54" s="117">
        <v>3</v>
      </c>
      <c r="E54" s="117">
        <v>1</v>
      </c>
      <c r="F54" s="117">
        <v>3</v>
      </c>
      <c r="G54" s="117">
        <v>3</v>
      </c>
      <c r="H54" s="118"/>
      <c r="I54" s="118"/>
      <c r="J54" s="118"/>
      <c r="K54" s="118"/>
      <c r="L54" s="118"/>
      <c r="M54" s="118"/>
      <c r="N54" s="118"/>
      <c r="O54" s="118"/>
      <c r="P54" s="119">
        <v>10</v>
      </c>
    </row>
    <row r="55" spans="1:16" s="38" customFormat="1">
      <c r="A55" s="40">
        <v>53</v>
      </c>
      <c r="B55" s="40" t="s">
        <v>2</v>
      </c>
      <c r="C55" s="116" t="s">
        <v>66</v>
      </c>
      <c r="D55" s="117">
        <v>3</v>
      </c>
      <c r="E55" s="117">
        <v>3</v>
      </c>
      <c r="F55" s="117">
        <v>3</v>
      </c>
      <c r="G55" s="117"/>
      <c r="H55" s="118"/>
      <c r="I55" s="118"/>
      <c r="J55" s="118"/>
      <c r="K55" s="118"/>
      <c r="L55" s="118"/>
      <c r="M55" s="118"/>
      <c r="N55" s="118"/>
      <c r="O55" s="118"/>
      <c r="P55" s="119">
        <v>9</v>
      </c>
    </row>
    <row r="56" spans="1:16" s="38" customFormat="1">
      <c r="A56" s="40">
        <v>54</v>
      </c>
      <c r="B56" s="40" t="s">
        <v>2</v>
      </c>
      <c r="C56" s="116" t="s">
        <v>67</v>
      </c>
      <c r="D56" s="117">
        <v>2</v>
      </c>
      <c r="E56" s="117">
        <v>1</v>
      </c>
      <c r="F56" s="117"/>
      <c r="G56" s="117">
        <v>6</v>
      </c>
      <c r="H56" s="118"/>
      <c r="I56" s="118"/>
      <c r="J56" s="118"/>
      <c r="K56" s="118"/>
      <c r="L56" s="118"/>
      <c r="M56" s="118"/>
      <c r="N56" s="118"/>
      <c r="O56" s="118"/>
      <c r="P56" s="119">
        <v>9</v>
      </c>
    </row>
    <row r="57" spans="1:16" s="38" customFormat="1">
      <c r="A57" s="40">
        <v>55</v>
      </c>
      <c r="B57" s="40" t="s">
        <v>2</v>
      </c>
      <c r="C57" s="116" t="s">
        <v>68</v>
      </c>
      <c r="D57" s="117">
        <v>4</v>
      </c>
      <c r="E57" s="117">
        <v>1</v>
      </c>
      <c r="F57" s="117">
        <v>1</v>
      </c>
      <c r="G57" s="117">
        <v>2</v>
      </c>
      <c r="H57" s="118"/>
      <c r="I57" s="118"/>
      <c r="J57" s="118"/>
      <c r="K57" s="118"/>
      <c r="L57" s="118"/>
      <c r="M57" s="118"/>
      <c r="N57" s="118"/>
      <c r="O57" s="118"/>
      <c r="P57" s="119">
        <v>8</v>
      </c>
    </row>
    <row r="58" spans="1:16" s="38" customFormat="1">
      <c r="A58" s="40">
        <v>56</v>
      </c>
      <c r="B58" s="40" t="s">
        <v>2</v>
      </c>
      <c r="C58" s="116" t="s">
        <v>69</v>
      </c>
      <c r="D58" s="117"/>
      <c r="E58" s="117">
        <v>2</v>
      </c>
      <c r="F58" s="117">
        <v>5</v>
      </c>
      <c r="G58" s="117">
        <v>1</v>
      </c>
      <c r="H58" s="118"/>
      <c r="I58" s="118"/>
      <c r="J58" s="118"/>
      <c r="K58" s="118"/>
      <c r="L58" s="118"/>
      <c r="M58" s="118"/>
      <c r="N58" s="118"/>
      <c r="O58" s="118"/>
      <c r="P58" s="119">
        <v>8</v>
      </c>
    </row>
    <row r="59" spans="1:16" s="38" customFormat="1">
      <c r="A59" s="40">
        <v>57</v>
      </c>
      <c r="B59" s="40" t="s">
        <v>2</v>
      </c>
      <c r="C59" s="116" t="s">
        <v>70</v>
      </c>
      <c r="D59" s="117">
        <v>1</v>
      </c>
      <c r="E59" s="117">
        <v>1</v>
      </c>
      <c r="F59" s="117">
        <v>1</v>
      </c>
      <c r="G59" s="117">
        <v>4</v>
      </c>
      <c r="H59" s="118"/>
      <c r="I59" s="118"/>
      <c r="J59" s="118"/>
      <c r="K59" s="118"/>
      <c r="L59" s="118"/>
      <c r="M59" s="118"/>
      <c r="N59" s="118"/>
      <c r="O59" s="118"/>
      <c r="P59" s="119">
        <v>7</v>
      </c>
    </row>
    <row r="60" spans="1:16" s="38" customFormat="1">
      <c r="A60" s="40">
        <v>58</v>
      </c>
      <c r="B60" s="40" t="s">
        <v>2</v>
      </c>
      <c r="C60" s="116" t="s">
        <v>71</v>
      </c>
      <c r="D60" s="117">
        <v>2</v>
      </c>
      <c r="E60" s="117">
        <v>2</v>
      </c>
      <c r="F60" s="117">
        <v>2</v>
      </c>
      <c r="G60" s="117">
        <v>1</v>
      </c>
      <c r="H60" s="118"/>
      <c r="I60" s="118"/>
      <c r="J60" s="118"/>
      <c r="K60" s="118"/>
      <c r="L60" s="118"/>
      <c r="M60" s="118"/>
      <c r="N60" s="118"/>
      <c r="O60" s="118"/>
      <c r="P60" s="119">
        <v>7</v>
      </c>
    </row>
    <row r="61" spans="1:16" s="38" customFormat="1">
      <c r="A61" s="40">
        <v>59</v>
      </c>
      <c r="B61" s="40" t="s">
        <v>2</v>
      </c>
      <c r="C61" s="116" t="s">
        <v>72</v>
      </c>
      <c r="D61" s="117">
        <v>1</v>
      </c>
      <c r="E61" s="117">
        <v>1</v>
      </c>
      <c r="F61" s="117">
        <v>2</v>
      </c>
      <c r="G61" s="117">
        <v>1</v>
      </c>
      <c r="H61" s="118"/>
      <c r="I61" s="118"/>
      <c r="J61" s="118"/>
      <c r="K61" s="118"/>
      <c r="L61" s="118"/>
      <c r="M61" s="118"/>
      <c r="N61" s="118"/>
      <c r="O61" s="118"/>
      <c r="P61" s="119">
        <v>5</v>
      </c>
    </row>
    <row r="62" spans="1:16" s="38" customFormat="1">
      <c r="A62" s="40">
        <v>60</v>
      </c>
      <c r="B62" s="40" t="s">
        <v>2</v>
      </c>
      <c r="C62" s="116" t="s">
        <v>73</v>
      </c>
      <c r="D62" s="117"/>
      <c r="E62" s="117">
        <v>2</v>
      </c>
      <c r="F62" s="117">
        <v>2</v>
      </c>
      <c r="G62" s="117">
        <v>2</v>
      </c>
      <c r="H62" s="118"/>
      <c r="I62" s="118"/>
      <c r="J62" s="118"/>
      <c r="K62" s="118"/>
      <c r="L62" s="118"/>
      <c r="M62" s="118"/>
      <c r="N62" s="118"/>
      <c r="O62" s="118"/>
      <c r="P62" s="119">
        <v>6</v>
      </c>
    </row>
    <row r="63" spans="1:16" s="38" customFormat="1">
      <c r="A63" s="40">
        <v>61</v>
      </c>
      <c r="B63" s="40" t="s">
        <v>2</v>
      </c>
      <c r="C63" s="116" t="s">
        <v>74</v>
      </c>
      <c r="D63" s="117">
        <v>1</v>
      </c>
      <c r="E63" s="117">
        <v>3</v>
      </c>
      <c r="F63" s="117">
        <v>1</v>
      </c>
      <c r="G63" s="117">
        <v>1</v>
      </c>
      <c r="H63" s="118"/>
      <c r="I63" s="118"/>
      <c r="J63" s="118"/>
      <c r="K63" s="118"/>
      <c r="L63" s="118"/>
      <c r="M63" s="118"/>
      <c r="N63" s="118"/>
      <c r="O63" s="118"/>
      <c r="P63" s="119">
        <v>6</v>
      </c>
    </row>
    <row r="64" spans="1:16" s="38" customFormat="1">
      <c r="A64" s="40">
        <v>62</v>
      </c>
      <c r="B64" s="40" t="s">
        <v>2</v>
      </c>
      <c r="C64" s="116" t="s">
        <v>75</v>
      </c>
      <c r="D64" s="117">
        <v>2</v>
      </c>
      <c r="E64" s="117">
        <v>1</v>
      </c>
      <c r="F64" s="117">
        <v>2</v>
      </c>
      <c r="G64" s="117"/>
      <c r="H64" s="118"/>
      <c r="I64" s="118"/>
      <c r="J64" s="118"/>
      <c r="K64" s="118"/>
      <c r="L64" s="118"/>
      <c r="M64" s="118"/>
      <c r="N64" s="118"/>
      <c r="O64" s="118"/>
      <c r="P64" s="119">
        <v>5</v>
      </c>
    </row>
    <row r="65" spans="1:16" s="38" customFormat="1">
      <c r="A65" s="40">
        <v>63</v>
      </c>
      <c r="B65" s="40" t="s">
        <v>2</v>
      </c>
      <c r="C65" s="116" t="s">
        <v>76</v>
      </c>
      <c r="D65" s="117">
        <v>2</v>
      </c>
      <c r="E65" s="117">
        <v>1</v>
      </c>
      <c r="F65" s="117">
        <v>2</v>
      </c>
      <c r="G65" s="117"/>
      <c r="H65" s="118"/>
      <c r="I65" s="118"/>
      <c r="J65" s="118"/>
      <c r="K65" s="118"/>
      <c r="L65" s="118"/>
      <c r="M65" s="118"/>
      <c r="N65" s="118"/>
      <c r="O65" s="118"/>
      <c r="P65" s="119">
        <v>5</v>
      </c>
    </row>
    <row r="66" spans="1:16" s="38" customFormat="1">
      <c r="A66" s="40">
        <v>64</v>
      </c>
      <c r="B66" s="40" t="s">
        <v>2</v>
      </c>
      <c r="C66" s="116" t="s">
        <v>77</v>
      </c>
      <c r="D66" s="117">
        <v>1</v>
      </c>
      <c r="E66" s="117">
        <v>2</v>
      </c>
      <c r="F66" s="117">
        <v>1</v>
      </c>
      <c r="G66" s="117">
        <v>1</v>
      </c>
      <c r="H66" s="118"/>
      <c r="I66" s="118"/>
      <c r="J66" s="118"/>
      <c r="K66" s="118"/>
      <c r="L66" s="118"/>
      <c r="M66" s="118"/>
      <c r="N66" s="118"/>
      <c r="O66" s="118"/>
      <c r="P66" s="119">
        <v>5</v>
      </c>
    </row>
    <row r="67" spans="1:16" s="38" customFormat="1">
      <c r="A67" s="40">
        <v>65</v>
      </c>
      <c r="B67" s="40" t="s">
        <v>2</v>
      </c>
      <c r="C67" s="116" t="s">
        <v>78</v>
      </c>
      <c r="D67" s="117">
        <v>2</v>
      </c>
      <c r="E67" s="117"/>
      <c r="F67" s="117"/>
      <c r="G67" s="117">
        <v>1</v>
      </c>
      <c r="H67" s="118"/>
      <c r="I67" s="118"/>
      <c r="J67" s="118"/>
      <c r="K67" s="118"/>
      <c r="L67" s="118"/>
      <c r="M67" s="118"/>
      <c r="N67" s="118"/>
      <c r="O67" s="118"/>
      <c r="P67" s="119">
        <v>3</v>
      </c>
    </row>
    <row r="68" spans="1:16" s="38" customFormat="1">
      <c r="A68" s="40">
        <v>66</v>
      </c>
      <c r="B68" s="40" t="s">
        <v>2</v>
      </c>
      <c r="C68" s="116" t="s">
        <v>79</v>
      </c>
      <c r="D68" s="117">
        <v>1</v>
      </c>
      <c r="E68" s="117">
        <v>1</v>
      </c>
      <c r="F68" s="117">
        <v>1</v>
      </c>
      <c r="G68" s="117">
        <v>1</v>
      </c>
      <c r="H68" s="118"/>
      <c r="I68" s="118"/>
      <c r="J68" s="118"/>
      <c r="K68" s="118"/>
      <c r="L68" s="118"/>
      <c r="M68" s="118"/>
      <c r="N68" s="118"/>
      <c r="O68" s="118"/>
      <c r="P68" s="119">
        <v>4</v>
      </c>
    </row>
    <row r="69" spans="1:16" s="38" customFormat="1">
      <c r="A69" s="40">
        <v>67</v>
      </c>
      <c r="B69" s="40" t="s">
        <v>2</v>
      </c>
      <c r="C69" s="116" t="s">
        <v>80</v>
      </c>
      <c r="D69" s="117">
        <v>1</v>
      </c>
      <c r="E69" s="117">
        <v>2</v>
      </c>
      <c r="F69" s="117">
        <v>1</v>
      </c>
      <c r="G69" s="117"/>
      <c r="H69" s="118"/>
      <c r="I69" s="118"/>
      <c r="J69" s="118"/>
      <c r="K69" s="118"/>
      <c r="L69" s="118"/>
      <c r="M69" s="118"/>
      <c r="N69" s="118"/>
      <c r="O69" s="118"/>
      <c r="P69" s="119">
        <v>4</v>
      </c>
    </row>
    <row r="70" spans="1:16" s="38" customFormat="1">
      <c r="A70" s="40">
        <v>68</v>
      </c>
      <c r="B70" s="40" t="s">
        <v>2</v>
      </c>
      <c r="C70" s="116" t="s">
        <v>81</v>
      </c>
      <c r="D70" s="117">
        <v>2</v>
      </c>
      <c r="E70" s="117"/>
      <c r="F70" s="117">
        <v>2</v>
      </c>
      <c r="G70" s="117"/>
      <c r="H70" s="118"/>
      <c r="I70" s="118"/>
      <c r="J70" s="118"/>
      <c r="K70" s="118"/>
      <c r="L70" s="118"/>
      <c r="M70" s="118"/>
      <c r="N70" s="118"/>
      <c r="O70" s="118"/>
      <c r="P70" s="119">
        <v>4</v>
      </c>
    </row>
    <row r="71" spans="1:16" s="38" customFormat="1">
      <c r="A71" s="40">
        <v>69</v>
      </c>
      <c r="B71" s="40" t="s">
        <v>2</v>
      </c>
      <c r="C71" s="116" t="s">
        <v>82</v>
      </c>
      <c r="D71" s="117">
        <v>2</v>
      </c>
      <c r="E71" s="117"/>
      <c r="F71" s="117"/>
      <c r="G71" s="117"/>
      <c r="H71" s="118"/>
      <c r="I71" s="118"/>
      <c r="J71" s="118"/>
      <c r="K71" s="118"/>
      <c r="L71" s="118"/>
      <c r="M71" s="118"/>
      <c r="N71" s="118"/>
      <c r="O71" s="118"/>
      <c r="P71" s="119">
        <v>2</v>
      </c>
    </row>
    <row r="72" spans="1:16" s="38" customFormat="1">
      <c r="A72" s="40">
        <v>70</v>
      </c>
      <c r="B72" s="40" t="s">
        <v>2</v>
      </c>
      <c r="C72" s="116" t="s">
        <v>83</v>
      </c>
      <c r="D72" s="117"/>
      <c r="E72" s="117">
        <v>2</v>
      </c>
      <c r="F72" s="117">
        <v>1</v>
      </c>
      <c r="G72" s="117"/>
      <c r="H72" s="118"/>
      <c r="I72" s="118"/>
      <c r="J72" s="118"/>
      <c r="K72" s="118"/>
      <c r="L72" s="118"/>
      <c r="M72" s="118"/>
      <c r="N72" s="118"/>
      <c r="O72" s="118"/>
      <c r="P72" s="119">
        <v>3</v>
      </c>
    </row>
    <row r="73" spans="1:16" s="38" customFormat="1">
      <c r="A73" s="40">
        <v>71</v>
      </c>
      <c r="B73" s="40" t="s">
        <v>2</v>
      </c>
      <c r="C73" s="116" t="s">
        <v>84</v>
      </c>
      <c r="D73" s="117">
        <v>1</v>
      </c>
      <c r="E73" s="117"/>
      <c r="F73" s="117">
        <v>1</v>
      </c>
      <c r="G73" s="117">
        <v>1</v>
      </c>
      <c r="H73" s="118"/>
      <c r="I73" s="118"/>
      <c r="J73" s="118"/>
      <c r="K73" s="118"/>
      <c r="L73" s="118"/>
      <c r="M73" s="118"/>
      <c r="N73" s="118"/>
      <c r="O73" s="118"/>
      <c r="P73" s="119">
        <v>3</v>
      </c>
    </row>
    <row r="74" spans="1:16" s="38" customFormat="1">
      <c r="A74" s="40">
        <v>72</v>
      </c>
      <c r="B74" s="40" t="s">
        <v>2</v>
      </c>
      <c r="C74" s="116" t="s">
        <v>85</v>
      </c>
      <c r="D74" s="117">
        <v>1</v>
      </c>
      <c r="E74" s="117"/>
      <c r="F74" s="117"/>
      <c r="G74" s="117">
        <v>2</v>
      </c>
      <c r="H74" s="118"/>
      <c r="I74" s="118"/>
      <c r="J74" s="118"/>
      <c r="K74" s="118"/>
      <c r="L74" s="118"/>
      <c r="M74" s="118"/>
      <c r="N74" s="118"/>
      <c r="O74" s="118"/>
      <c r="P74" s="119">
        <v>3</v>
      </c>
    </row>
    <row r="75" spans="1:16" s="38" customFormat="1">
      <c r="A75" s="40">
        <v>73</v>
      </c>
      <c r="B75" s="40" t="s">
        <v>2</v>
      </c>
      <c r="C75" s="116" t="s">
        <v>86</v>
      </c>
      <c r="D75" s="117">
        <v>1</v>
      </c>
      <c r="E75" s="117"/>
      <c r="F75" s="117">
        <v>2</v>
      </c>
      <c r="G75" s="117"/>
      <c r="H75" s="118"/>
      <c r="I75" s="118"/>
      <c r="J75" s="118"/>
      <c r="K75" s="118"/>
      <c r="L75" s="118"/>
      <c r="M75" s="118"/>
      <c r="N75" s="118"/>
      <c r="O75" s="118"/>
      <c r="P75" s="119">
        <v>3</v>
      </c>
    </row>
    <row r="76" spans="1:16" s="38" customFormat="1">
      <c r="A76" s="40">
        <v>74</v>
      </c>
      <c r="B76" s="40" t="s">
        <v>2</v>
      </c>
      <c r="C76" s="116" t="s">
        <v>87</v>
      </c>
      <c r="D76" s="117"/>
      <c r="E76" s="117"/>
      <c r="F76" s="117"/>
      <c r="G76" s="117">
        <v>2</v>
      </c>
      <c r="H76" s="118"/>
      <c r="I76" s="118"/>
      <c r="J76" s="118"/>
      <c r="K76" s="118"/>
      <c r="L76" s="118"/>
      <c r="M76" s="118"/>
      <c r="N76" s="118"/>
      <c r="O76" s="118"/>
      <c r="P76" s="119">
        <v>2</v>
      </c>
    </row>
    <row r="77" spans="1:16" s="38" customFormat="1">
      <c r="A77" s="40">
        <v>75</v>
      </c>
      <c r="B77" s="40" t="s">
        <v>2</v>
      </c>
      <c r="C77" s="116" t="s">
        <v>88</v>
      </c>
      <c r="D77" s="117">
        <v>2</v>
      </c>
      <c r="E77" s="117"/>
      <c r="F77" s="117"/>
      <c r="G77" s="117"/>
      <c r="H77" s="118"/>
      <c r="I77" s="118"/>
      <c r="J77" s="118"/>
      <c r="K77" s="118"/>
      <c r="L77" s="118"/>
      <c r="M77" s="118"/>
      <c r="N77" s="118"/>
      <c r="O77" s="118"/>
      <c r="P77" s="119">
        <v>2</v>
      </c>
    </row>
    <row r="78" spans="1:16" s="38" customFormat="1">
      <c r="A78" s="40">
        <v>76</v>
      </c>
      <c r="B78" s="40" t="s">
        <v>2</v>
      </c>
      <c r="C78" s="116" t="s">
        <v>89</v>
      </c>
      <c r="D78" s="117"/>
      <c r="E78" s="117">
        <v>2</v>
      </c>
      <c r="F78" s="117"/>
      <c r="G78" s="120"/>
      <c r="H78" s="118"/>
      <c r="I78" s="118"/>
      <c r="J78" s="118"/>
      <c r="K78" s="118"/>
      <c r="L78" s="118"/>
      <c r="M78" s="118"/>
      <c r="N78" s="118"/>
      <c r="O78" s="118"/>
      <c r="P78" s="119">
        <v>2</v>
      </c>
    </row>
    <row r="79" spans="1:16" s="38" customFormat="1">
      <c r="A79" s="40">
        <v>77</v>
      </c>
      <c r="B79" s="40" t="s">
        <v>2</v>
      </c>
      <c r="C79" s="116" t="s">
        <v>90</v>
      </c>
      <c r="D79" s="117"/>
      <c r="E79" s="117"/>
      <c r="F79" s="117">
        <v>2</v>
      </c>
      <c r="G79" s="117"/>
      <c r="H79" s="118"/>
      <c r="I79" s="118"/>
      <c r="J79" s="118"/>
      <c r="K79" s="118"/>
      <c r="L79" s="118"/>
      <c r="M79" s="118"/>
      <c r="N79" s="118"/>
      <c r="O79" s="118"/>
      <c r="P79" s="119">
        <v>2</v>
      </c>
    </row>
    <row r="80" spans="1:16" s="38" customFormat="1">
      <c r="A80" s="40">
        <v>78</v>
      </c>
      <c r="B80" s="40" t="s">
        <v>2</v>
      </c>
      <c r="C80" s="116" t="s">
        <v>91</v>
      </c>
      <c r="D80" s="117"/>
      <c r="E80" s="117"/>
      <c r="F80" s="117"/>
      <c r="G80" s="117">
        <v>1</v>
      </c>
      <c r="H80" s="118"/>
      <c r="I80" s="118"/>
      <c r="J80" s="118"/>
      <c r="K80" s="118"/>
      <c r="L80" s="118"/>
      <c r="M80" s="118"/>
      <c r="N80" s="118"/>
      <c r="O80" s="118"/>
      <c r="P80" s="119">
        <v>1</v>
      </c>
    </row>
    <row r="81" spans="1:16" s="38" customFormat="1">
      <c r="A81" s="121">
        <v>79</v>
      </c>
      <c r="B81" s="40" t="s">
        <v>2</v>
      </c>
      <c r="C81" s="116" t="s">
        <v>92</v>
      </c>
      <c r="D81" s="117">
        <v>1</v>
      </c>
      <c r="E81" s="117"/>
      <c r="F81" s="117"/>
      <c r="G81" s="117">
        <v>1</v>
      </c>
      <c r="H81" s="118"/>
      <c r="I81" s="118"/>
      <c r="J81" s="118"/>
      <c r="K81" s="118"/>
      <c r="L81" s="118"/>
      <c r="M81" s="118"/>
      <c r="N81" s="118"/>
      <c r="O81" s="118"/>
      <c r="P81" s="119">
        <v>2</v>
      </c>
    </row>
    <row r="82" spans="1:16" s="38" customFormat="1">
      <c r="A82" s="40">
        <v>80</v>
      </c>
      <c r="B82" s="40" t="s">
        <v>2</v>
      </c>
      <c r="C82" s="116" t="s">
        <v>93</v>
      </c>
      <c r="D82" s="117"/>
      <c r="E82" s="117">
        <v>1</v>
      </c>
      <c r="F82" s="117"/>
      <c r="G82" s="117">
        <v>1</v>
      </c>
      <c r="H82" s="118"/>
      <c r="I82" s="118"/>
      <c r="J82" s="118"/>
      <c r="K82" s="118"/>
      <c r="L82" s="118"/>
      <c r="M82" s="118"/>
      <c r="N82" s="118"/>
      <c r="O82" s="118"/>
      <c r="P82" s="119">
        <v>2</v>
      </c>
    </row>
    <row r="83" spans="1:16" s="38" customFormat="1">
      <c r="A83" s="40">
        <v>81</v>
      </c>
      <c r="B83" s="40" t="s">
        <v>2</v>
      </c>
      <c r="C83" s="116" t="s">
        <v>94</v>
      </c>
      <c r="D83" s="117"/>
      <c r="E83" s="117">
        <v>1</v>
      </c>
      <c r="F83" s="117"/>
      <c r="G83" s="117"/>
      <c r="H83" s="118"/>
      <c r="I83" s="118"/>
      <c r="J83" s="118"/>
      <c r="K83" s="118"/>
      <c r="L83" s="118"/>
      <c r="M83" s="118"/>
      <c r="N83" s="118"/>
      <c r="O83" s="118"/>
      <c r="P83" s="119">
        <v>1</v>
      </c>
    </row>
    <row r="84" spans="1:16" s="38" customFormat="1">
      <c r="A84" s="40">
        <v>82</v>
      </c>
      <c r="B84" s="40" t="s">
        <v>2</v>
      </c>
      <c r="C84" s="116" t="s">
        <v>95</v>
      </c>
      <c r="D84" s="117">
        <v>1</v>
      </c>
      <c r="E84" s="117">
        <v>1</v>
      </c>
      <c r="F84" s="117"/>
      <c r="G84" s="117"/>
      <c r="H84" s="118"/>
      <c r="I84" s="118"/>
      <c r="J84" s="118"/>
      <c r="K84" s="118"/>
      <c r="L84" s="118"/>
      <c r="M84" s="118"/>
      <c r="N84" s="118"/>
      <c r="O84" s="118"/>
      <c r="P84" s="119">
        <v>2</v>
      </c>
    </row>
    <row r="85" spans="1:16" s="38" customFormat="1">
      <c r="A85" s="40">
        <v>83</v>
      </c>
      <c r="B85" s="40" t="s">
        <v>2</v>
      </c>
      <c r="C85" s="116" t="s">
        <v>96</v>
      </c>
      <c r="D85" s="117"/>
      <c r="E85" s="117">
        <v>1</v>
      </c>
      <c r="F85" s="117"/>
      <c r="G85" s="117"/>
      <c r="H85" s="118"/>
      <c r="I85" s="118"/>
      <c r="J85" s="118"/>
      <c r="K85" s="118"/>
      <c r="L85" s="118"/>
      <c r="M85" s="118"/>
      <c r="N85" s="118"/>
      <c r="O85" s="118"/>
      <c r="P85" s="119">
        <v>1</v>
      </c>
    </row>
    <row r="86" spans="1:16" s="38" customFormat="1">
      <c r="A86" s="40">
        <v>84</v>
      </c>
      <c r="B86" s="40" t="s">
        <v>2</v>
      </c>
      <c r="C86" s="116" t="s">
        <v>97</v>
      </c>
      <c r="D86" s="117"/>
      <c r="E86" s="117"/>
      <c r="F86" s="117">
        <v>1</v>
      </c>
      <c r="G86" s="117"/>
      <c r="H86" s="118"/>
      <c r="I86" s="118"/>
      <c r="J86" s="118"/>
      <c r="K86" s="118"/>
      <c r="L86" s="118"/>
      <c r="M86" s="118"/>
      <c r="N86" s="118"/>
      <c r="O86" s="118"/>
      <c r="P86" s="119">
        <v>1</v>
      </c>
    </row>
    <row r="87" spans="1:16" s="38" customFormat="1">
      <c r="A87" s="40">
        <v>85</v>
      </c>
      <c r="B87" s="40" t="s">
        <v>2</v>
      </c>
      <c r="C87" s="116" t="s">
        <v>98</v>
      </c>
      <c r="D87" s="117"/>
      <c r="E87" s="117"/>
      <c r="F87" s="117"/>
      <c r="G87" s="117">
        <v>1</v>
      </c>
      <c r="H87" s="118"/>
      <c r="I87" s="118"/>
      <c r="J87" s="118"/>
      <c r="K87" s="118"/>
      <c r="L87" s="118"/>
      <c r="M87" s="118"/>
      <c r="N87" s="118"/>
      <c r="O87" s="118"/>
      <c r="P87" s="119">
        <v>1</v>
      </c>
    </row>
    <row r="88" spans="1:16" s="38" customFormat="1">
      <c r="A88" s="40">
        <v>86</v>
      </c>
      <c r="B88" s="40" t="s">
        <v>2</v>
      </c>
      <c r="C88" s="116" t="s">
        <v>99</v>
      </c>
      <c r="D88" s="117">
        <v>1</v>
      </c>
      <c r="E88" s="117"/>
      <c r="F88" s="117"/>
      <c r="G88" s="117"/>
      <c r="H88" s="118"/>
      <c r="I88" s="118"/>
      <c r="J88" s="118"/>
      <c r="K88" s="118"/>
      <c r="L88" s="118"/>
      <c r="M88" s="118"/>
      <c r="N88" s="118"/>
      <c r="O88" s="118"/>
      <c r="P88" s="119">
        <v>1</v>
      </c>
    </row>
    <row r="89" spans="1:16" s="38" customFormat="1">
      <c r="A89" s="40">
        <v>87</v>
      </c>
      <c r="B89" s="40" t="s">
        <v>2</v>
      </c>
      <c r="C89" s="116" t="s">
        <v>100</v>
      </c>
      <c r="D89" s="117">
        <v>1</v>
      </c>
      <c r="E89" s="117"/>
      <c r="F89" s="117"/>
      <c r="G89" s="117"/>
      <c r="H89" s="118"/>
      <c r="I89" s="118"/>
      <c r="J89" s="118"/>
      <c r="K89" s="118"/>
      <c r="L89" s="118"/>
      <c r="M89" s="118"/>
      <c r="N89" s="118"/>
      <c r="O89" s="118"/>
      <c r="P89" s="119">
        <v>1</v>
      </c>
    </row>
    <row r="90" spans="1:16" s="38" customFormat="1">
      <c r="A90" s="40">
        <v>88</v>
      </c>
      <c r="B90" s="40" t="s">
        <v>2</v>
      </c>
      <c r="C90" s="116" t="s">
        <v>101</v>
      </c>
      <c r="D90" s="117"/>
      <c r="E90" s="117">
        <v>1</v>
      </c>
      <c r="F90" s="117"/>
      <c r="G90" s="117"/>
      <c r="H90" s="118"/>
      <c r="I90" s="118"/>
      <c r="J90" s="118"/>
      <c r="K90" s="118"/>
      <c r="L90" s="118"/>
      <c r="M90" s="118"/>
      <c r="N90" s="118"/>
      <c r="O90" s="118"/>
      <c r="P90" s="119">
        <v>1</v>
      </c>
    </row>
    <row r="91" spans="1:16" s="38" customFormat="1">
      <c r="A91" s="40">
        <v>89</v>
      </c>
      <c r="B91" s="40" t="s">
        <v>2</v>
      </c>
      <c r="C91" s="116" t="s">
        <v>102</v>
      </c>
      <c r="D91" s="117"/>
      <c r="E91" s="117">
        <v>1</v>
      </c>
      <c r="F91" s="117"/>
      <c r="G91" s="117"/>
      <c r="H91" s="118"/>
      <c r="I91" s="118"/>
      <c r="J91" s="118"/>
      <c r="K91" s="118"/>
      <c r="L91" s="118"/>
      <c r="M91" s="118"/>
      <c r="N91" s="118"/>
      <c r="O91" s="118"/>
      <c r="P91" s="119">
        <v>1</v>
      </c>
    </row>
    <row r="92" spans="1:16" s="38" customFormat="1">
      <c r="A92" s="40">
        <v>90</v>
      </c>
      <c r="B92" s="40" t="s">
        <v>2</v>
      </c>
      <c r="C92" s="116" t="s">
        <v>103</v>
      </c>
      <c r="D92" s="117"/>
      <c r="E92" s="117"/>
      <c r="F92" s="117">
        <v>1</v>
      </c>
      <c r="G92" s="117"/>
      <c r="H92" s="118"/>
      <c r="I92" s="118"/>
      <c r="J92" s="118"/>
      <c r="K92" s="118"/>
      <c r="L92" s="118"/>
      <c r="M92" s="118"/>
      <c r="N92" s="118"/>
      <c r="O92" s="118"/>
      <c r="P92" s="119">
        <v>1</v>
      </c>
    </row>
    <row r="93" spans="1:16" s="38" customFormat="1">
      <c r="A93" s="40">
        <v>91</v>
      </c>
      <c r="B93" s="40" t="s">
        <v>2</v>
      </c>
      <c r="C93" s="116" t="s">
        <v>104</v>
      </c>
      <c r="D93" s="117"/>
      <c r="E93" s="117"/>
      <c r="F93" s="117"/>
      <c r="G93" s="117">
        <v>1</v>
      </c>
      <c r="H93" s="118"/>
      <c r="I93" s="118"/>
      <c r="J93" s="118"/>
      <c r="K93" s="118"/>
      <c r="L93" s="118"/>
      <c r="M93" s="118"/>
      <c r="N93" s="118"/>
      <c r="O93" s="118"/>
      <c r="P93" s="119">
        <v>1</v>
      </c>
    </row>
    <row r="94" spans="1:16" s="38" customFormat="1">
      <c r="A94" s="40">
        <v>92</v>
      </c>
      <c r="B94" s="40" t="s">
        <v>2</v>
      </c>
      <c r="C94" s="116" t="s">
        <v>105</v>
      </c>
      <c r="D94" s="117"/>
      <c r="E94" s="117"/>
      <c r="F94" s="117">
        <v>1</v>
      </c>
      <c r="G94" s="117"/>
      <c r="H94" s="118"/>
      <c r="I94" s="118"/>
      <c r="J94" s="118"/>
      <c r="K94" s="118"/>
      <c r="L94" s="118"/>
      <c r="M94" s="118"/>
      <c r="N94" s="118"/>
      <c r="O94" s="118"/>
      <c r="P94" s="119">
        <v>1</v>
      </c>
    </row>
    <row r="95" spans="1:16" s="38" customFormat="1">
      <c r="A95" s="40">
        <v>93</v>
      </c>
      <c r="B95" s="40" t="s">
        <v>2</v>
      </c>
      <c r="C95" s="116" t="s">
        <v>106</v>
      </c>
      <c r="D95" s="117"/>
      <c r="E95" s="117"/>
      <c r="F95" s="117">
        <v>1</v>
      </c>
      <c r="G95" s="117"/>
      <c r="H95" s="118"/>
      <c r="I95" s="118"/>
      <c r="J95" s="118"/>
      <c r="K95" s="118"/>
      <c r="L95" s="118"/>
      <c r="M95" s="118"/>
      <c r="N95" s="118"/>
      <c r="O95" s="118"/>
      <c r="P95" s="119">
        <v>1</v>
      </c>
    </row>
    <row r="96" spans="1:16" s="38" customFormat="1">
      <c r="A96" s="40">
        <v>94</v>
      </c>
      <c r="B96" s="40" t="s">
        <v>2</v>
      </c>
      <c r="C96" s="116" t="s">
        <v>107</v>
      </c>
      <c r="D96" s="117"/>
      <c r="E96" s="117"/>
      <c r="F96" s="117">
        <v>1</v>
      </c>
      <c r="G96" s="117"/>
      <c r="H96" s="118"/>
      <c r="I96" s="118"/>
      <c r="J96" s="118"/>
      <c r="K96" s="118"/>
      <c r="L96" s="118"/>
      <c r="M96" s="118"/>
      <c r="N96" s="118"/>
      <c r="O96" s="118"/>
      <c r="P96" s="119">
        <v>1</v>
      </c>
    </row>
    <row r="97" spans="1:16" s="38" customFormat="1">
      <c r="A97" s="40">
        <v>95</v>
      </c>
      <c r="B97" s="40" t="s">
        <v>2</v>
      </c>
      <c r="C97" s="116" t="s">
        <v>108</v>
      </c>
      <c r="D97" s="117"/>
      <c r="E97" s="117"/>
      <c r="F97" s="117">
        <v>1</v>
      </c>
      <c r="G97" s="117"/>
      <c r="H97" s="118"/>
      <c r="I97" s="118"/>
      <c r="J97" s="118"/>
      <c r="K97" s="118"/>
      <c r="L97" s="118"/>
      <c r="M97" s="118"/>
      <c r="N97" s="118"/>
      <c r="O97" s="118"/>
      <c r="P97" s="119">
        <v>1</v>
      </c>
    </row>
    <row r="98" spans="1:16" s="38" customFormat="1" ht="16">
      <c r="A98" s="40">
        <v>96</v>
      </c>
      <c r="B98" s="4" t="s">
        <v>1</v>
      </c>
      <c r="C98" s="14" t="s">
        <v>926</v>
      </c>
      <c r="D98" s="13"/>
      <c r="E98" s="13"/>
      <c r="F98" s="13">
        <v>1</v>
      </c>
      <c r="G98" s="13"/>
      <c r="H98" s="5"/>
      <c r="I98" s="5"/>
      <c r="J98" s="5"/>
      <c r="K98" s="5"/>
      <c r="L98" s="5"/>
      <c r="M98" s="5"/>
      <c r="N98" s="5"/>
      <c r="O98" s="5"/>
      <c r="P98" s="17">
        <v>1</v>
      </c>
    </row>
    <row r="99" spans="1:16" s="38" customFormat="1" ht="16">
      <c r="A99" s="40">
        <v>97</v>
      </c>
      <c r="B99" s="4" t="s">
        <v>1</v>
      </c>
      <c r="C99" s="14" t="s">
        <v>927</v>
      </c>
      <c r="D99" s="13">
        <v>2</v>
      </c>
      <c r="E99" s="13"/>
      <c r="F99" s="13"/>
      <c r="G99" s="13"/>
      <c r="H99" s="5"/>
      <c r="I99" s="5"/>
      <c r="J99" s="5"/>
      <c r="K99" s="5"/>
      <c r="L99" s="5"/>
      <c r="M99" s="5"/>
      <c r="N99" s="5"/>
      <c r="O99" s="5"/>
      <c r="P99" s="17">
        <v>2</v>
      </c>
    </row>
    <row r="100" spans="1:16" s="38" customFormat="1" ht="16">
      <c r="A100" s="40">
        <v>98</v>
      </c>
      <c r="B100" s="4" t="s">
        <v>1</v>
      </c>
      <c r="C100" s="14" t="s">
        <v>928</v>
      </c>
      <c r="D100" s="13"/>
      <c r="E100" s="13"/>
      <c r="F100" s="13">
        <v>1</v>
      </c>
      <c r="G100" s="13">
        <v>2</v>
      </c>
      <c r="H100" s="5"/>
      <c r="I100" s="5"/>
      <c r="J100" s="5"/>
      <c r="K100" s="5"/>
      <c r="L100" s="5"/>
      <c r="M100" s="5"/>
      <c r="N100" s="5"/>
      <c r="O100" s="5"/>
      <c r="P100" s="17">
        <v>3</v>
      </c>
    </row>
    <row r="101" spans="1:16" s="38" customFormat="1" ht="16">
      <c r="A101" s="40">
        <v>99</v>
      </c>
      <c r="B101" s="4" t="s">
        <v>1</v>
      </c>
      <c r="C101" s="14" t="s">
        <v>929</v>
      </c>
      <c r="D101" s="13"/>
      <c r="E101" s="13">
        <v>1</v>
      </c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1</v>
      </c>
    </row>
    <row r="102" spans="1:16" s="38" customFormat="1" ht="16">
      <c r="A102" s="40">
        <v>100</v>
      </c>
      <c r="B102" s="4" t="s">
        <v>1</v>
      </c>
      <c r="C102" s="14" t="s">
        <v>930</v>
      </c>
      <c r="D102" s="13">
        <v>3</v>
      </c>
      <c r="E102" s="13">
        <v>5</v>
      </c>
      <c r="F102" s="13">
        <v>1</v>
      </c>
      <c r="G102" s="13">
        <v>3</v>
      </c>
      <c r="H102" s="5"/>
      <c r="I102" s="5"/>
      <c r="J102" s="5"/>
      <c r="K102" s="5"/>
      <c r="L102" s="5"/>
      <c r="M102" s="5"/>
      <c r="N102" s="5"/>
      <c r="O102" s="5"/>
      <c r="P102" s="17">
        <v>12</v>
      </c>
    </row>
    <row r="103" spans="1:16" s="38" customFormat="1" ht="16">
      <c r="A103" s="40">
        <v>101</v>
      </c>
      <c r="B103" s="4" t="s">
        <v>1</v>
      </c>
      <c r="C103" s="14" t="s">
        <v>931</v>
      </c>
      <c r="D103" s="13">
        <v>8</v>
      </c>
      <c r="E103" s="13">
        <v>11</v>
      </c>
      <c r="F103" s="13">
        <v>17</v>
      </c>
      <c r="G103" s="13">
        <v>20</v>
      </c>
      <c r="H103" s="5"/>
      <c r="I103" s="5"/>
      <c r="J103" s="5"/>
      <c r="K103" s="5"/>
      <c r="L103" s="5"/>
      <c r="M103" s="5"/>
      <c r="N103" s="5"/>
      <c r="O103" s="5"/>
      <c r="P103" s="17">
        <v>56</v>
      </c>
    </row>
    <row r="104" spans="1:16" s="38" customFormat="1" ht="16">
      <c r="A104" s="40">
        <v>102</v>
      </c>
      <c r="B104" s="4" t="s">
        <v>1</v>
      </c>
      <c r="C104" s="14" t="s">
        <v>932</v>
      </c>
      <c r="D104" s="13">
        <v>5</v>
      </c>
      <c r="E104" s="13">
        <v>7</v>
      </c>
      <c r="F104" s="13">
        <v>5</v>
      </c>
      <c r="G104" s="13">
        <v>4</v>
      </c>
      <c r="H104" s="5"/>
      <c r="I104" s="5"/>
      <c r="J104" s="5"/>
      <c r="K104" s="5"/>
      <c r="L104" s="5"/>
      <c r="M104" s="5"/>
      <c r="N104" s="5"/>
      <c r="O104" s="5"/>
      <c r="P104" s="17">
        <v>21</v>
      </c>
    </row>
    <row r="105" spans="1:16" ht="16">
      <c r="A105" s="40">
        <v>103</v>
      </c>
      <c r="B105" s="4" t="s">
        <v>1</v>
      </c>
      <c r="C105" s="14" t="s">
        <v>933</v>
      </c>
      <c r="D105" s="13">
        <v>9</v>
      </c>
      <c r="E105" s="13">
        <v>14</v>
      </c>
      <c r="F105" s="13">
        <v>17</v>
      </c>
      <c r="G105" s="13">
        <v>19</v>
      </c>
      <c r="H105" s="5"/>
      <c r="I105" s="5"/>
      <c r="J105" s="5"/>
      <c r="K105" s="5"/>
      <c r="L105" s="5"/>
      <c r="M105" s="5"/>
      <c r="N105" s="5"/>
      <c r="O105" s="5"/>
      <c r="P105" s="17">
        <v>59</v>
      </c>
    </row>
    <row r="106" spans="1:16" ht="16">
      <c r="A106" s="40">
        <v>104</v>
      </c>
      <c r="B106" s="4" t="s">
        <v>1</v>
      </c>
      <c r="C106" s="14" t="s">
        <v>934</v>
      </c>
      <c r="D106" s="13"/>
      <c r="E106" s="13">
        <v>1</v>
      </c>
      <c r="F106" s="13">
        <v>2</v>
      </c>
      <c r="G106" s="13">
        <v>1</v>
      </c>
      <c r="H106" s="5"/>
      <c r="I106" s="5"/>
      <c r="J106" s="5"/>
      <c r="K106" s="5"/>
      <c r="L106" s="5"/>
      <c r="M106" s="5"/>
      <c r="N106" s="5"/>
      <c r="O106" s="5"/>
      <c r="P106" s="17">
        <v>4</v>
      </c>
    </row>
    <row r="107" spans="1:16" ht="16">
      <c r="A107" s="40">
        <v>105</v>
      </c>
      <c r="B107" s="4" t="s">
        <v>1</v>
      </c>
      <c r="C107" s="14" t="s">
        <v>935</v>
      </c>
      <c r="D107" s="13">
        <v>1</v>
      </c>
      <c r="E107" s="13"/>
      <c r="F107" s="13"/>
      <c r="G107" s="13"/>
      <c r="H107" s="5"/>
      <c r="I107" s="5"/>
      <c r="J107" s="5"/>
      <c r="K107" s="5"/>
      <c r="L107" s="5"/>
      <c r="M107" s="5"/>
      <c r="N107" s="5"/>
      <c r="O107" s="5"/>
      <c r="P107" s="17">
        <v>1</v>
      </c>
    </row>
    <row r="108" spans="1:16" ht="16">
      <c r="A108" s="40">
        <v>106</v>
      </c>
      <c r="B108" s="4" t="s">
        <v>1</v>
      </c>
      <c r="C108" s="14" t="s">
        <v>936</v>
      </c>
      <c r="D108" s="13">
        <v>1</v>
      </c>
      <c r="E108" s="13"/>
      <c r="F108" s="13"/>
      <c r="G108" s="13">
        <v>1</v>
      </c>
      <c r="H108" s="5"/>
      <c r="I108" s="5"/>
      <c r="J108" s="5"/>
      <c r="K108" s="5"/>
      <c r="L108" s="5"/>
      <c r="M108" s="5"/>
      <c r="N108" s="5"/>
      <c r="O108" s="5"/>
      <c r="P108" s="17">
        <v>2</v>
      </c>
    </row>
    <row r="109" spans="1:16" ht="16">
      <c r="A109" s="40">
        <v>107</v>
      </c>
      <c r="B109" s="4" t="s">
        <v>1</v>
      </c>
      <c r="C109" s="14" t="s">
        <v>937</v>
      </c>
      <c r="D109" s="13"/>
      <c r="E109" s="13"/>
      <c r="F109" s="13"/>
      <c r="G109" s="13">
        <v>1</v>
      </c>
      <c r="H109" s="5"/>
      <c r="I109" s="5"/>
      <c r="J109" s="5"/>
      <c r="K109" s="5"/>
      <c r="L109" s="5"/>
      <c r="M109" s="5"/>
      <c r="N109" s="5"/>
      <c r="O109" s="5"/>
      <c r="P109" s="17">
        <v>1</v>
      </c>
    </row>
    <row r="110" spans="1:16" ht="16">
      <c r="A110" s="40">
        <v>108</v>
      </c>
      <c r="B110" s="4" t="s">
        <v>1</v>
      </c>
      <c r="C110" s="14" t="s">
        <v>938</v>
      </c>
      <c r="D110" s="13">
        <v>10</v>
      </c>
      <c r="E110" s="13"/>
      <c r="F110" s="13">
        <v>5</v>
      </c>
      <c r="G110" s="13"/>
      <c r="H110" s="5"/>
      <c r="I110" s="5"/>
      <c r="J110" s="5"/>
      <c r="K110" s="5"/>
      <c r="L110" s="5"/>
      <c r="M110" s="5"/>
      <c r="N110" s="5"/>
      <c r="O110" s="5"/>
      <c r="P110" s="17">
        <v>15</v>
      </c>
    </row>
    <row r="111" spans="1:16" ht="16">
      <c r="A111" s="40">
        <v>109</v>
      </c>
      <c r="B111" s="4" t="s">
        <v>1</v>
      </c>
      <c r="C111" s="14" t="s">
        <v>939</v>
      </c>
      <c r="D111" s="13">
        <v>16</v>
      </c>
      <c r="E111" s="13">
        <v>19</v>
      </c>
      <c r="F111" s="13">
        <v>22</v>
      </c>
      <c r="G111" s="13">
        <v>13</v>
      </c>
      <c r="H111" s="5"/>
      <c r="I111" s="5"/>
      <c r="J111" s="5"/>
      <c r="K111" s="5"/>
      <c r="L111" s="5"/>
      <c r="M111" s="5"/>
      <c r="N111" s="5"/>
      <c r="O111" s="5"/>
      <c r="P111" s="17">
        <v>70</v>
      </c>
    </row>
    <row r="112" spans="1:16" ht="16">
      <c r="A112" s="40">
        <v>110</v>
      </c>
      <c r="B112" s="4" t="s">
        <v>1</v>
      </c>
      <c r="C112" s="14" t="s">
        <v>940</v>
      </c>
      <c r="D112" s="13">
        <v>8</v>
      </c>
      <c r="E112" s="13">
        <v>26</v>
      </c>
      <c r="F112" s="13">
        <v>24</v>
      </c>
      <c r="G112" s="13">
        <v>16</v>
      </c>
      <c r="H112" s="5"/>
      <c r="I112" s="5"/>
      <c r="J112" s="5"/>
      <c r="K112" s="5"/>
      <c r="L112" s="5"/>
      <c r="M112" s="5"/>
      <c r="N112" s="5"/>
      <c r="O112" s="5"/>
      <c r="P112" s="17">
        <v>74</v>
      </c>
    </row>
    <row r="113" spans="1:16" s="53" customFormat="1" ht="16">
      <c r="A113" s="40">
        <v>111</v>
      </c>
      <c r="B113" s="4" t="s">
        <v>1</v>
      </c>
      <c r="C113" s="14" t="s">
        <v>941</v>
      </c>
      <c r="D113" s="13"/>
      <c r="E113" s="13"/>
      <c r="F113" s="13">
        <v>1</v>
      </c>
      <c r="G113" s="13"/>
      <c r="H113" s="5"/>
      <c r="I113" s="5"/>
      <c r="J113" s="5"/>
      <c r="K113" s="5"/>
      <c r="L113" s="5"/>
      <c r="M113" s="5"/>
      <c r="N113" s="5"/>
      <c r="O113" s="5"/>
      <c r="P113" s="17">
        <v>1</v>
      </c>
    </row>
    <row r="114" spans="1:16" s="53" customFormat="1" ht="16">
      <c r="A114" s="40">
        <v>112</v>
      </c>
      <c r="B114" s="4" t="s">
        <v>1</v>
      </c>
      <c r="C114" s="14" t="s">
        <v>942</v>
      </c>
      <c r="D114" s="13">
        <v>1</v>
      </c>
      <c r="E114" s="13"/>
      <c r="F114" s="13">
        <v>1</v>
      </c>
      <c r="G114" s="13"/>
      <c r="H114" s="5"/>
      <c r="I114" s="5"/>
      <c r="J114" s="5"/>
      <c r="K114" s="5"/>
      <c r="L114" s="5"/>
      <c r="M114" s="5"/>
      <c r="N114" s="5"/>
      <c r="O114" s="5"/>
      <c r="P114" s="17">
        <v>2</v>
      </c>
    </row>
    <row r="115" spans="1:16" s="53" customFormat="1" ht="16">
      <c r="A115" s="40">
        <v>113</v>
      </c>
      <c r="B115" s="4" t="s">
        <v>1</v>
      </c>
      <c r="C115" s="14" t="s">
        <v>943</v>
      </c>
      <c r="D115" s="13">
        <v>69</v>
      </c>
      <c r="E115" s="13">
        <v>69</v>
      </c>
      <c r="F115" s="13">
        <v>82</v>
      </c>
      <c r="G115" s="13">
        <v>126</v>
      </c>
      <c r="H115" s="5"/>
      <c r="I115" s="5"/>
      <c r="J115" s="5"/>
      <c r="K115" s="5"/>
      <c r="L115" s="5"/>
      <c r="M115" s="5"/>
      <c r="N115" s="5"/>
      <c r="O115" s="5"/>
      <c r="P115" s="17">
        <v>346</v>
      </c>
    </row>
    <row r="116" spans="1:16" s="53" customFormat="1" ht="72.5">
      <c r="A116" s="40">
        <v>1</v>
      </c>
      <c r="B116" s="40" t="s">
        <v>3</v>
      </c>
      <c r="C116" s="70" t="s">
        <v>121</v>
      </c>
      <c r="D116" s="117">
        <v>1</v>
      </c>
      <c r="E116" s="117">
        <v>1</v>
      </c>
      <c r="F116" s="117"/>
      <c r="G116" s="117"/>
      <c r="H116" s="118"/>
      <c r="I116" s="118"/>
      <c r="J116" s="118"/>
      <c r="K116" s="118"/>
      <c r="L116" s="118"/>
      <c r="M116" s="118"/>
      <c r="N116" s="118"/>
      <c r="O116" s="118"/>
      <c r="P116" s="119">
        <v>2</v>
      </c>
    </row>
    <row r="117" spans="1:16" s="53" customFormat="1" ht="29">
      <c r="A117" s="40">
        <v>2</v>
      </c>
      <c r="B117" s="40" t="s">
        <v>3</v>
      </c>
      <c r="C117" s="70" t="s">
        <v>122</v>
      </c>
      <c r="D117" s="117">
        <v>14</v>
      </c>
      <c r="E117" s="117">
        <v>4</v>
      </c>
      <c r="F117" s="117">
        <v>20</v>
      </c>
      <c r="G117" s="117">
        <v>10</v>
      </c>
      <c r="H117" s="118"/>
      <c r="I117" s="118"/>
      <c r="J117" s="118"/>
      <c r="K117" s="118"/>
      <c r="L117" s="118"/>
      <c r="M117" s="118"/>
      <c r="N117" s="118"/>
      <c r="O117" s="118"/>
      <c r="P117" s="119">
        <v>48</v>
      </c>
    </row>
    <row r="118" spans="1:16" s="53" customFormat="1" ht="43.5">
      <c r="A118" s="40">
        <v>3</v>
      </c>
      <c r="B118" s="40" t="s">
        <v>3</v>
      </c>
      <c r="C118" s="70" t="s">
        <v>123</v>
      </c>
      <c r="D118" s="117">
        <v>9</v>
      </c>
      <c r="E118" s="117">
        <v>4</v>
      </c>
      <c r="F118" s="117">
        <v>11</v>
      </c>
      <c r="G118" s="117">
        <v>13</v>
      </c>
      <c r="H118" s="118"/>
      <c r="I118" s="118"/>
      <c r="J118" s="118"/>
      <c r="K118" s="118"/>
      <c r="L118" s="118"/>
      <c r="M118" s="118"/>
      <c r="N118" s="118"/>
      <c r="O118" s="118"/>
      <c r="P118" s="119">
        <v>37</v>
      </c>
    </row>
    <row r="119" spans="1:16" s="53" customFormat="1" ht="29">
      <c r="A119" s="40">
        <v>4</v>
      </c>
      <c r="B119" s="40" t="s">
        <v>3</v>
      </c>
      <c r="C119" s="70" t="s">
        <v>124</v>
      </c>
      <c r="D119" s="117">
        <v>6</v>
      </c>
      <c r="E119" s="117">
        <v>5</v>
      </c>
      <c r="F119" s="117">
        <v>8</v>
      </c>
      <c r="G119" s="117">
        <v>5</v>
      </c>
      <c r="H119" s="118"/>
      <c r="I119" s="118"/>
      <c r="J119" s="118"/>
      <c r="K119" s="118"/>
      <c r="L119" s="118"/>
      <c r="M119" s="118"/>
      <c r="N119" s="118"/>
      <c r="O119" s="118"/>
      <c r="P119" s="119">
        <v>24</v>
      </c>
    </row>
    <row r="120" spans="1:16" s="53" customFormat="1" ht="43.5">
      <c r="A120" s="40">
        <v>5</v>
      </c>
      <c r="B120" s="40" t="s">
        <v>3</v>
      </c>
      <c r="C120" s="70" t="s">
        <v>125</v>
      </c>
      <c r="D120" s="117">
        <v>12</v>
      </c>
      <c r="E120" s="117">
        <v>10</v>
      </c>
      <c r="F120" s="117">
        <v>12</v>
      </c>
      <c r="G120" s="117">
        <v>7</v>
      </c>
      <c r="H120" s="118"/>
      <c r="I120" s="118"/>
      <c r="J120" s="118"/>
      <c r="K120" s="118"/>
      <c r="L120" s="118"/>
      <c r="M120" s="118"/>
      <c r="N120" s="118"/>
      <c r="O120" s="118"/>
      <c r="P120" s="119">
        <v>41</v>
      </c>
    </row>
    <row r="121" spans="1:16" s="53" customFormat="1" ht="58">
      <c r="A121" s="40">
        <v>6</v>
      </c>
      <c r="B121" s="40" t="s">
        <v>3</v>
      </c>
      <c r="C121" s="70" t="s">
        <v>127</v>
      </c>
      <c r="D121" s="117">
        <v>11</v>
      </c>
      <c r="E121" s="117">
        <v>4</v>
      </c>
      <c r="F121" s="117">
        <v>9</v>
      </c>
      <c r="G121" s="117">
        <v>7</v>
      </c>
      <c r="H121" s="118"/>
      <c r="I121" s="118"/>
      <c r="J121" s="118"/>
      <c r="K121" s="118"/>
      <c r="L121" s="118"/>
      <c r="M121" s="118"/>
      <c r="N121" s="118"/>
      <c r="O121" s="118"/>
      <c r="P121" s="119">
        <v>31</v>
      </c>
    </row>
    <row r="122" spans="1:16" s="53" customFormat="1" ht="43.5">
      <c r="A122" s="40">
        <v>7</v>
      </c>
      <c r="B122" s="40" t="s">
        <v>3</v>
      </c>
      <c r="C122" s="70" t="s">
        <v>128</v>
      </c>
      <c r="D122" s="117">
        <v>1</v>
      </c>
      <c r="E122" s="117">
        <v>1</v>
      </c>
      <c r="F122" s="117">
        <v>1</v>
      </c>
      <c r="G122" s="117">
        <v>1</v>
      </c>
      <c r="H122" s="118"/>
      <c r="I122" s="118"/>
      <c r="J122" s="118"/>
      <c r="K122" s="118"/>
      <c r="L122" s="118"/>
      <c r="M122" s="118"/>
      <c r="N122" s="118"/>
      <c r="O122" s="118"/>
      <c r="P122" s="119">
        <v>4</v>
      </c>
    </row>
    <row r="123" spans="1:16" s="53" customFormat="1" ht="87">
      <c r="A123" s="40">
        <v>8</v>
      </c>
      <c r="B123" s="40" t="s">
        <v>3</v>
      </c>
      <c r="C123" s="70" t="s">
        <v>129</v>
      </c>
      <c r="D123" s="117">
        <v>1</v>
      </c>
      <c r="E123" s="117">
        <v>1</v>
      </c>
      <c r="F123" s="117">
        <v>1</v>
      </c>
      <c r="G123" s="117">
        <v>1</v>
      </c>
      <c r="H123" s="118"/>
      <c r="I123" s="118"/>
      <c r="J123" s="118"/>
      <c r="K123" s="118"/>
      <c r="L123" s="118"/>
      <c r="M123" s="118"/>
      <c r="N123" s="118"/>
      <c r="O123" s="118"/>
      <c r="P123" s="119">
        <v>4</v>
      </c>
    </row>
    <row r="124" spans="1:16" s="53" customFormat="1" ht="58">
      <c r="A124" s="40">
        <v>9</v>
      </c>
      <c r="B124" s="40" t="s">
        <v>3</v>
      </c>
      <c r="C124" s="70" t="s">
        <v>130</v>
      </c>
      <c r="D124" s="117">
        <v>107</v>
      </c>
      <c r="E124" s="117">
        <v>165</v>
      </c>
      <c r="F124" s="117">
        <v>131</v>
      </c>
      <c r="G124" s="117">
        <v>139</v>
      </c>
      <c r="H124" s="118"/>
      <c r="I124" s="118"/>
      <c r="J124" s="118"/>
      <c r="K124" s="118"/>
      <c r="L124" s="118"/>
      <c r="M124" s="118"/>
      <c r="N124" s="118"/>
      <c r="O124" s="118"/>
      <c r="P124" s="119">
        <v>542</v>
      </c>
    </row>
    <row r="125" spans="1:16" s="53" customFormat="1" ht="43.5">
      <c r="A125" s="40">
        <v>10</v>
      </c>
      <c r="B125" s="40" t="s">
        <v>3</v>
      </c>
      <c r="C125" s="70" t="s">
        <v>131</v>
      </c>
      <c r="D125" s="117">
        <v>39</v>
      </c>
      <c r="E125" s="117">
        <v>64</v>
      </c>
      <c r="F125" s="117">
        <v>48</v>
      </c>
      <c r="G125" s="117">
        <v>51</v>
      </c>
      <c r="H125" s="118"/>
      <c r="I125" s="118"/>
      <c r="J125" s="118"/>
      <c r="K125" s="118"/>
      <c r="L125" s="118"/>
      <c r="M125" s="118"/>
      <c r="N125" s="118"/>
      <c r="O125" s="118"/>
      <c r="P125" s="119">
        <v>202</v>
      </c>
    </row>
    <row r="126" spans="1:16" s="53" customFormat="1" ht="29">
      <c r="A126" s="40">
        <v>11</v>
      </c>
      <c r="B126" s="40" t="s">
        <v>3</v>
      </c>
      <c r="C126" s="70" t="s">
        <v>132</v>
      </c>
      <c r="D126" s="117">
        <v>10</v>
      </c>
      <c r="E126" s="117">
        <v>8</v>
      </c>
      <c r="F126" s="117">
        <v>8</v>
      </c>
      <c r="G126" s="117">
        <v>6</v>
      </c>
      <c r="H126" s="118"/>
      <c r="I126" s="118"/>
      <c r="J126" s="118"/>
      <c r="K126" s="118"/>
      <c r="L126" s="118"/>
      <c r="M126" s="118"/>
      <c r="N126" s="118"/>
      <c r="O126" s="118"/>
      <c r="P126" s="119">
        <v>32</v>
      </c>
    </row>
    <row r="127" spans="1:16" s="53" customFormat="1" ht="58">
      <c r="A127" s="40">
        <v>12</v>
      </c>
      <c r="B127" s="40" t="s">
        <v>3</v>
      </c>
      <c r="C127" s="70" t="s">
        <v>134</v>
      </c>
      <c r="D127" s="117">
        <v>15</v>
      </c>
      <c r="E127" s="117">
        <v>12</v>
      </c>
      <c r="F127" s="117">
        <v>13</v>
      </c>
      <c r="G127" s="117">
        <v>8</v>
      </c>
      <c r="H127" s="118"/>
      <c r="I127" s="118"/>
      <c r="J127" s="118"/>
      <c r="K127" s="118"/>
      <c r="L127" s="118"/>
      <c r="M127" s="118"/>
      <c r="N127" s="118"/>
      <c r="O127" s="118"/>
      <c r="P127" s="119">
        <v>48</v>
      </c>
    </row>
    <row r="128" spans="1:16" s="53" customFormat="1" ht="58">
      <c r="A128" s="40">
        <v>13</v>
      </c>
      <c r="B128" s="40" t="s">
        <v>3</v>
      </c>
      <c r="C128" s="70" t="s">
        <v>135</v>
      </c>
      <c r="D128" s="117">
        <v>2</v>
      </c>
      <c r="E128" s="117">
        <v>7</v>
      </c>
      <c r="F128" s="117">
        <v>2</v>
      </c>
      <c r="G128" s="117">
        <v>1</v>
      </c>
      <c r="H128" s="118"/>
      <c r="I128" s="118"/>
      <c r="J128" s="118"/>
      <c r="K128" s="118"/>
      <c r="L128" s="118"/>
      <c r="M128" s="118"/>
      <c r="N128" s="118"/>
      <c r="O128" s="118"/>
      <c r="P128" s="119">
        <v>12</v>
      </c>
    </row>
    <row r="129" spans="1:16" s="53" customFormat="1" ht="58">
      <c r="A129" s="40">
        <v>14</v>
      </c>
      <c r="B129" s="40" t="s">
        <v>3</v>
      </c>
      <c r="C129" s="70" t="s">
        <v>136</v>
      </c>
      <c r="D129" s="117">
        <v>1</v>
      </c>
      <c r="E129" s="117">
        <v>1</v>
      </c>
      <c r="F129" s="117"/>
      <c r="G129" s="117"/>
      <c r="H129" s="118"/>
      <c r="I129" s="118"/>
      <c r="J129" s="118"/>
      <c r="K129" s="118"/>
      <c r="L129" s="118"/>
      <c r="M129" s="118"/>
      <c r="N129" s="118"/>
      <c r="O129" s="118"/>
      <c r="P129" s="119">
        <v>2</v>
      </c>
    </row>
    <row r="130" spans="1:16" s="53" customFormat="1" ht="87">
      <c r="A130" s="40">
        <v>15</v>
      </c>
      <c r="B130" s="40" t="s">
        <v>3</v>
      </c>
      <c r="C130" s="70" t="s">
        <v>137</v>
      </c>
      <c r="D130" s="117">
        <v>10</v>
      </c>
      <c r="E130" s="117">
        <v>8</v>
      </c>
      <c r="F130" s="117">
        <v>42</v>
      </c>
      <c r="G130" s="117">
        <v>21</v>
      </c>
      <c r="H130" s="118"/>
      <c r="I130" s="118"/>
      <c r="J130" s="118"/>
      <c r="K130" s="118"/>
      <c r="L130" s="118"/>
      <c r="M130" s="118"/>
      <c r="N130" s="118"/>
      <c r="O130" s="118"/>
      <c r="P130" s="119">
        <v>81</v>
      </c>
    </row>
    <row r="131" spans="1:16" s="53" customFormat="1" ht="29">
      <c r="A131" s="40">
        <v>16</v>
      </c>
      <c r="B131" s="40" t="s">
        <v>3</v>
      </c>
      <c r="C131" s="70" t="s">
        <v>139</v>
      </c>
      <c r="D131" s="117">
        <v>25</v>
      </c>
      <c r="E131" s="117">
        <v>28</v>
      </c>
      <c r="F131" s="117">
        <v>46</v>
      </c>
      <c r="G131" s="117">
        <v>10</v>
      </c>
      <c r="H131" s="118"/>
      <c r="I131" s="118"/>
      <c r="J131" s="118"/>
      <c r="K131" s="118"/>
      <c r="L131" s="118"/>
      <c r="M131" s="118"/>
      <c r="N131" s="118"/>
      <c r="O131" s="118"/>
      <c r="P131" s="119">
        <v>109</v>
      </c>
    </row>
    <row r="132" spans="1:16" s="53" customFormat="1" ht="29">
      <c r="A132" s="40">
        <v>17</v>
      </c>
      <c r="B132" s="40" t="s">
        <v>3</v>
      </c>
      <c r="C132" s="70" t="s">
        <v>142</v>
      </c>
      <c r="D132" s="117">
        <v>48</v>
      </c>
      <c r="E132" s="117">
        <v>41</v>
      </c>
      <c r="F132" s="117">
        <v>48</v>
      </c>
      <c r="G132" s="117">
        <v>46</v>
      </c>
      <c r="H132" s="118"/>
      <c r="I132" s="118"/>
      <c r="J132" s="118"/>
      <c r="K132" s="118"/>
      <c r="L132" s="118"/>
      <c r="M132" s="118"/>
      <c r="N132" s="118"/>
      <c r="O132" s="118"/>
      <c r="P132" s="119">
        <v>183</v>
      </c>
    </row>
    <row r="133" spans="1:16" s="53" customFormat="1" ht="58">
      <c r="A133" s="40">
        <v>18</v>
      </c>
      <c r="B133" s="40" t="s">
        <v>3</v>
      </c>
      <c r="C133" s="70" t="s">
        <v>144</v>
      </c>
      <c r="D133" s="117">
        <v>8</v>
      </c>
      <c r="E133" s="117">
        <v>2</v>
      </c>
      <c r="F133" s="117">
        <v>6</v>
      </c>
      <c r="G133" s="117">
        <v>9</v>
      </c>
      <c r="H133" s="118"/>
      <c r="I133" s="118"/>
      <c r="J133" s="118"/>
      <c r="K133" s="118"/>
      <c r="L133" s="118"/>
      <c r="M133" s="118"/>
      <c r="N133" s="118"/>
      <c r="O133" s="118"/>
      <c r="P133" s="119">
        <v>25</v>
      </c>
    </row>
    <row r="134" spans="1:16" s="53" customFormat="1" ht="58">
      <c r="A134" s="40">
        <v>19</v>
      </c>
      <c r="B134" s="40" t="s">
        <v>3</v>
      </c>
      <c r="C134" s="70" t="s">
        <v>1657</v>
      </c>
      <c r="D134" s="117"/>
      <c r="E134" s="117"/>
      <c r="F134" s="117"/>
      <c r="G134" s="117">
        <v>1</v>
      </c>
      <c r="H134" s="118"/>
      <c r="I134" s="118"/>
      <c r="J134" s="118"/>
      <c r="K134" s="118"/>
      <c r="L134" s="118"/>
      <c r="M134" s="118"/>
      <c r="N134" s="118"/>
      <c r="O134" s="118"/>
      <c r="P134" s="119">
        <v>1</v>
      </c>
    </row>
    <row r="135" spans="1:16" s="53" customFormat="1" ht="72.5">
      <c r="A135" s="40">
        <v>20</v>
      </c>
      <c r="B135" s="40" t="s">
        <v>3</v>
      </c>
      <c r="C135" s="70" t="s">
        <v>146</v>
      </c>
      <c r="D135" s="117">
        <v>3</v>
      </c>
      <c r="E135" s="117">
        <v>10</v>
      </c>
      <c r="F135" s="117">
        <v>7</v>
      </c>
      <c r="G135" s="117">
        <v>9</v>
      </c>
      <c r="H135" s="118"/>
      <c r="I135" s="118"/>
      <c r="J135" s="118"/>
      <c r="K135" s="118"/>
      <c r="L135" s="118"/>
      <c r="M135" s="118"/>
      <c r="N135" s="118"/>
      <c r="O135" s="118"/>
      <c r="P135" s="119">
        <v>29</v>
      </c>
    </row>
    <row r="136" spans="1:16" s="53" customFormat="1" ht="58">
      <c r="A136" s="40">
        <v>21</v>
      </c>
      <c r="B136" s="40" t="s">
        <v>3</v>
      </c>
      <c r="C136" s="70" t="s">
        <v>148</v>
      </c>
      <c r="D136" s="117">
        <v>10</v>
      </c>
      <c r="E136" s="117">
        <v>16</v>
      </c>
      <c r="F136" s="117">
        <v>13</v>
      </c>
      <c r="G136" s="117">
        <v>15</v>
      </c>
      <c r="H136" s="118"/>
      <c r="I136" s="118"/>
      <c r="J136" s="118"/>
      <c r="K136" s="118"/>
      <c r="L136" s="118"/>
      <c r="M136" s="118"/>
      <c r="N136" s="118"/>
      <c r="O136" s="118"/>
      <c r="P136" s="119">
        <v>54</v>
      </c>
    </row>
    <row r="137" spans="1:16" s="53" customFormat="1" ht="72.5">
      <c r="A137" s="40">
        <v>22</v>
      </c>
      <c r="B137" s="40" t="s">
        <v>3</v>
      </c>
      <c r="C137" s="70" t="s">
        <v>149</v>
      </c>
      <c r="D137" s="117">
        <v>66</v>
      </c>
      <c r="E137" s="117">
        <v>61</v>
      </c>
      <c r="F137" s="117">
        <v>57</v>
      </c>
      <c r="G137" s="117">
        <v>67</v>
      </c>
      <c r="H137" s="118"/>
      <c r="I137" s="118"/>
      <c r="J137" s="118"/>
      <c r="K137" s="118"/>
      <c r="L137" s="118"/>
      <c r="M137" s="118"/>
      <c r="N137" s="118"/>
      <c r="O137" s="118"/>
      <c r="P137" s="119">
        <v>251</v>
      </c>
    </row>
    <row r="138" spans="1:16" s="53" customFormat="1" ht="58">
      <c r="A138" s="40">
        <v>23</v>
      </c>
      <c r="B138" s="40" t="s">
        <v>3</v>
      </c>
      <c r="C138" s="70" t="s">
        <v>150</v>
      </c>
      <c r="D138" s="117">
        <v>168</v>
      </c>
      <c r="E138" s="117">
        <v>159</v>
      </c>
      <c r="F138" s="117">
        <v>170</v>
      </c>
      <c r="G138" s="117">
        <v>176</v>
      </c>
      <c r="H138" s="118"/>
      <c r="I138" s="118"/>
      <c r="J138" s="118"/>
      <c r="K138" s="118"/>
      <c r="L138" s="118"/>
      <c r="M138" s="118"/>
      <c r="N138" s="118"/>
      <c r="O138" s="118"/>
      <c r="P138" s="119">
        <v>673</v>
      </c>
    </row>
    <row r="139" spans="1:16" s="53" customFormat="1" ht="43.5">
      <c r="A139" s="40">
        <v>24</v>
      </c>
      <c r="B139" s="40" t="s">
        <v>3</v>
      </c>
      <c r="C139" s="70" t="s">
        <v>151</v>
      </c>
      <c r="D139" s="117">
        <v>5</v>
      </c>
      <c r="E139" s="117">
        <v>4</v>
      </c>
      <c r="F139" s="117">
        <v>5</v>
      </c>
      <c r="G139" s="117">
        <v>2</v>
      </c>
      <c r="H139" s="118"/>
      <c r="I139" s="118"/>
      <c r="J139" s="118"/>
      <c r="K139" s="118"/>
      <c r="L139" s="118"/>
      <c r="M139" s="118"/>
      <c r="N139" s="118"/>
      <c r="O139" s="118"/>
      <c r="P139" s="119">
        <v>16</v>
      </c>
    </row>
    <row r="140" spans="1:16" s="53" customFormat="1" ht="43.5">
      <c r="A140" s="40">
        <v>25</v>
      </c>
      <c r="B140" s="40" t="s">
        <v>3</v>
      </c>
      <c r="C140" s="70" t="s">
        <v>152</v>
      </c>
      <c r="D140" s="117">
        <v>21</v>
      </c>
      <c r="E140" s="117">
        <v>9</v>
      </c>
      <c r="F140" s="117">
        <v>15</v>
      </c>
      <c r="G140" s="117">
        <v>16</v>
      </c>
      <c r="H140" s="118"/>
      <c r="I140" s="118"/>
      <c r="J140" s="118"/>
      <c r="K140" s="118"/>
      <c r="L140" s="118"/>
      <c r="M140" s="118"/>
      <c r="N140" s="118"/>
      <c r="O140" s="118"/>
      <c r="P140" s="119">
        <v>61</v>
      </c>
    </row>
    <row r="141" spans="1:16" s="53" customFormat="1" ht="29">
      <c r="A141" s="40">
        <v>26</v>
      </c>
      <c r="B141" s="40" t="s">
        <v>3</v>
      </c>
      <c r="C141" s="70" t="s">
        <v>153</v>
      </c>
      <c r="D141" s="117">
        <v>1</v>
      </c>
      <c r="E141" s="117">
        <v>1</v>
      </c>
      <c r="F141" s="117">
        <v>1</v>
      </c>
      <c r="G141" s="117">
        <v>1</v>
      </c>
      <c r="H141" s="118"/>
      <c r="I141" s="118"/>
      <c r="J141" s="118"/>
      <c r="K141" s="118"/>
      <c r="L141" s="118"/>
      <c r="M141" s="118"/>
      <c r="N141" s="118"/>
      <c r="O141" s="118"/>
      <c r="P141" s="119">
        <v>4</v>
      </c>
    </row>
    <row r="142" spans="1:16" s="53" customFormat="1" ht="87">
      <c r="A142" s="40">
        <v>27</v>
      </c>
      <c r="B142" s="40" t="s">
        <v>3</v>
      </c>
      <c r="C142" s="70" t="s">
        <v>154</v>
      </c>
      <c r="D142" s="117">
        <v>2</v>
      </c>
      <c r="E142" s="117">
        <v>2</v>
      </c>
      <c r="F142" s="117"/>
      <c r="G142" s="117"/>
      <c r="H142" s="118"/>
      <c r="I142" s="118"/>
      <c r="J142" s="118"/>
      <c r="K142" s="118"/>
      <c r="L142" s="118"/>
      <c r="M142" s="118"/>
      <c r="N142" s="118"/>
      <c r="O142" s="118"/>
      <c r="P142" s="119">
        <v>4</v>
      </c>
    </row>
    <row r="143" spans="1:16" s="53" customFormat="1" ht="58">
      <c r="A143" s="40">
        <v>28</v>
      </c>
      <c r="B143" s="40" t="s">
        <v>3</v>
      </c>
      <c r="C143" s="70" t="s">
        <v>155</v>
      </c>
      <c r="D143" s="117">
        <v>17</v>
      </c>
      <c r="E143" s="117">
        <v>19</v>
      </c>
      <c r="F143" s="117">
        <v>22</v>
      </c>
      <c r="G143" s="117">
        <v>22</v>
      </c>
      <c r="H143" s="118"/>
      <c r="I143" s="118"/>
      <c r="J143" s="118"/>
      <c r="K143" s="118"/>
      <c r="L143" s="118"/>
      <c r="M143" s="118"/>
      <c r="N143" s="118"/>
      <c r="O143" s="118"/>
      <c r="P143" s="119">
        <v>80</v>
      </c>
    </row>
    <row r="144" spans="1:16" s="53" customFormat="1" ht="43.5">
      <c r="A144" s="40">
        <v>29</v>
      </c>
      <c r="B144" s="40" t="s">
        <v>3</v>
      </c>
      <c r="C144" s="70" t="s">
        <v>156</v>
      </c>
      <c r="D144" s="117">
        <v>125</v>
      </c>
      <c r="E144" s="117">
        <v>137</v>
      </c>
      <c r="F144" s="117">
        <v>148</v>
      </c>
      <c r="G144" s="117">
        <v>131</v>
      </c>
      <c r="H144" s="118"/>
      <c r="I144" s="118"/>
      <c r="J144" s="118"/>
      <c r="K144" s="118"/>
      <c r="L144" s="118"/>
      <c r="M144" s="118"/>
      <c r="N144" s="118"/>
      <c r="O144" s="118"/>
      <c r="P144" s="119">
        <v>541</v>
      </c>
    </row>
    <row r="145" spans="1:16" s="53" customFormat="1" ht="72.5">
      <c r="A145" s="40">
        <v>30</v>
      </c>
      <c r="B145" s="40" t="s">
        <v>3</v>
      </c>
      <c r="C145" s="70" t="s">
        <v>157</v>
      </c>
      <c r="D145" s="117"/>
      <c r="E145" s="117">
        <v>2</v>
      </c>
      <c r="F145" s="117">
        <v>2</v>
      </c>
      <c r="G145" s="117">
        <v>3</v>
      </c>
      <c r="H145" s="118"/>
      <c r="I145" s="118"/>
      <c r="J145" s="118"/>
      <c r="K145" s="118"/>
      <c r="L145" s="118"/>
      <c r="M145" s="118"/>
      <c r="N145" s="118"/>
      <c r="O145" s="118"/>
      <c r="P145" s="119">
        <v>7</v>
      </c>
    </row>
    <row r="146" spans="1:16" s="53" customFormat="1" ht="72.5">
      <c r="A146" s="40">
        <v>31</v>
      </c>
      <c r="B146" s="40" t="s">
        <v>3</v>
      </c>
      <c r="C146" s="70" t="s">
        <v>158</v>
      </c>
      <c r="D146" s="117"/>
      <c r="E146" s="117">
        <v>2</v>
      </c>
      <c r="F146" s="117">
        <v>3</v>
      </c>
      <c r="G146" s="117">
        <v>1</v>
      </c>
      <c r="H146" s="118"/>
      <c r="I146" s="118"/>
      <c r="J146" s="118"/>
      <c r="K146" s="118"/>
      <c r="L146" s="118"/>
      <c r="M146" s="118"/>
      <c r="N146" s="118"/>
      <c r="O146" s="118"/>
      <c r="P146" s="119">
        <v>6</v>
      </c>
    </row>
    <row r="147" spans="1:16" s="53" customFormat="1" ht="43.5">
      <c r="A147" s="40">
        <v>32</v>
      </c>
      <c r="B147" s="40" t="s">
        <v>3</v>
      </c>
      <c r="C147" s="70" t="s">
        <v>159</v>
      </c>
      <c r="D147" s="117">
        <v>121</v>
      </c>
      <c r="E147" s="117">
        <v>94</v>
      </c>
      <c r="F147" s="117">
        <v>108</v>
      </c>
      <c r="G147" s="117">
        <v>124</v>
      </c>
      <c r="H147" s="118"/>
      <c r="I147" s="118"/>
      <c r="J147" s="118"/>
      <c r="K147" s="118"/>
      <c r="L147" s="118"/>
      <c r="M147" s="118"/>
      <c r="N147" s="118"/>
      <c r="O147" s="118"/>
      <c r="P147" s="119">
        <v>447</v>
      </c>
    </row>
    <row r="148" spans="1:16" s="53" customFormat="1" ht="29">
      <c r="A148" s="40">
        <v>33</v>
      </c>
      <c r="B148" s="40" t="s">
        <v>3</v>
      </c>
      <c r="C148" s="70" t="s">
        <v>160</v>
      </c>
      <c r="D148" s="117">
        <v>3</v>
      </c>
      <c r="E148" s="117">
        <v>2</v>
      </c>
      <c r="F148" s="117">
        <v>4</v>
      </c>
      <c r="G148" s="117">
        <v>3</v>
      </c>
      <c r="H148" s="118"/>
      <c r="I148" s="118"/>
      <c r="J148" s="118"/>
      <c r="K148" s="118"/>
      <c r="L148" s="118"/>
      <c r="M148" s="118"/>
      <c r="N148" s="118"/>
      <c r="O148" s="118"/>
      <c r="P148" s="119">
        <v>12</v>
      </c>
    </row>
    <row r="149" spans="1:16" s="53" customFormat="1">
      <c r="A149" s="40">
        <v>34</v>
      </c>
      <c r="B149" s="40" t="s">
        <v>3</v>
      </c>
      <c r="C149" s="70" t="s">
        <v>161</v>
      </c>
      <c r="D149" s="117">
        <v>14</v>
      </c>
      <c r="E149" s="117">
        <v>9</v>
      </c>
      <c r="F149" s="117">
        <v>11</v>
      </c>
      <c r="G149" s="117">
        <v>10</v>
      </c>
      <c r="H149" s="118"/>
      <c r="I149" s="118"/>
      <c r="J149" s="118"/>
      <c r="K149" s="118"/>
      <c r="L149" s="118"/>
      <c r="M149" s="118"/>
      <c r="N149" s="118"/>
      <c r="O149" s="118"/>
      <c r="P149" s="119">
        <v>44</v>
      </c>
    </row>
    <row r="150" spans="1:16" s="53" customFormat="1" ht="29">
      <c r="A150" s="40">
        <v>35</v>
      </c>
      <c r="B150" s="40" t="s">
        <v>3</v>
      </c>
      <c r="C150" s="70" t="s">
        <v>163</v>
      </c>
      <c r="D150" s="117">
        <v>2</v>
      </c>
      <c r="E150" s="117"/>
      <c r="F150" s="117"/>
      <c r="G150" s="117">
        <v>1</v>
      </c>
      <c r="H150" s="118"/>
      <c r="I150" s="118"/>
      <c r="J150" s="118"/>
      <c r="K150" s="118"/>
      <c r="L150" s="118"/>
      <c r="M150" s="118"/>
      <c r="N150" s="118"/>
      <c r="O150" s="118"/>
      <c r="P150" s="119">
        <v>3</v>
      </c>
    </row>
    <row r="151" spans="1:16" s="53" customFormat="1" ht="43.5">
      <c r="A151" s="40">
        <v>36</v>
      </c>
      <c r="B151" s="40" t="s">
        <v>3</v>
      </c>
      <c r="C151" s="70" t="s">
        <v>164</v>
      </c>
      <c r="D151" s="117">
        <v>5</v>
      </c>
      <c r="E151" s="117">
        <v>2</v>
      </c>
      <c r="F151" s="117"/>
      <c r="G151" s="117"/>
      <c r="H151" s="118"/>
      <c r="I151" s="118"/>
      <c r="J151" s="118"/>
      <c r="K151" s="118"/>
      <c r="L151" s="118"/>
      <c r="M151" s="118"/>
      <c r="N151" s="118"/>
      <c r="O151" s="118"/>
      <c r="P151" s="119">
        <v>7</v>
      </c>
    </row>
    <row r="152" spans="1:16" s="53" customFormat="1" ht="29">
      <c r="A152" s="40">
        <v>37</v>
      </c>
      <c r="B152" s="40" t="s">
        <v>3</v>
      </c>
      <c r="C152" s="70" t="s">
        <v>166</v>
      </c>
      <c r="D152" s="117">
        <v>5</v>
      </c>
      <c r="E152" s="117">
        <v>4</v>
      </c>
      <c r="F152" s="117">
        <v>8</v>
      </c>
      <c r="G152" s="117">
        <v>4</v>
      </c>
      <c r="H152" s="118"/>
      <c r="I152" s="118"/>
      <c r="J152" s="118"/>
      <c r="K152" s="118"/>
      <c r="L152" s="118"/>
      <c r="M152" s="118"/>
      <c r="N152" s="118"/>
      <c r="O152" s="118"/>
      <c r="P152" s="119">
        <v>21</v>
      </c>
    </row>
    <row r="153" spans="1:16" s="53" customFormat="1" ht="72.5">
      <c r="A153" s="40">
        <v>38</v>
      </c>
      <c r="B153" s="40" t="s">
        <v>3</v>
      </c>
      <c r="C153" s="70" t="s">
        <v>167</v>
      </c>
      <c r="D153" s="117">
        <v>11</v>
      </c>
      <c r="E153" s="117">
        <v>9</v>
      </c>
      <c r="F153" s="117">
        <v>10</v>
      </c>
      <c r="G153" s="117">
        <v>4</v>
      </c>
      <c r="H153" s="118"/>
      <c r="I153" s="118"/>
      <c r="J153" s="118"/>
      <c r="K153" s="118"/>
      <c r="L153" s="118"/>
      <c r="M153" s="118"/>
      <c r="N153" s="118"/>
      <c r="O153" s="118"/>
      <c r="P153" s="119">
        <v>34</v>
      </c>
    </row>
    <row r="154" spans="1:16" s="53" customFormat="1" ht="101.5">
      <c r="A154" s="40">
        <v>39</v>
      </c>
      <c r="B154" s="40" t="s">
        <v>3</v>
      </c>
      <c r="C154" s="70" t="s">
        <v>1658</v>
      </c>
      <c r="D154" s="117"/>
      <c r="E154" s="117"/>
      <c r="F154" s="117"/>
      <c r="G154" s="117">
        <v>2</v>
      </c>
      <c r="H154" s="118"/>
      <c r="I154" s="118"/>
      <c r="J154" s="118"/>
      <c r="K154" s="118"/>
      <c r="L154" s="118"/>
      <c r="M154" s="118"/>
      <c r="N154" s="118"/>
      <c r="O154" s="118"/>
      <c r="P154" s="119">
        <v>2</v>
      </c>
    </row>
    <row r="155" spans="1:16" s="53" customFormat="1" ht="43.5">
      <c r="A155" s="40">
        <v>40</v>
      </c>
      <c r="B155" s="40" t="s">
        <v>3</v>
      </c>
      <c r="C155" s="70" t="s">
        <v>169</v>
      </c>
      <c r="D155" s="117">
        <v>19</v>
      </c>
      <c r="E155" s="117">
        <v>22</v>
      </c>
      <c r="F155" s="117">
        <v>22</v>
      </c>
      <c r="G155" s="117">
        <v>25</v>
      </c>
      <c r="H155" s="118"/>
      <c r="I155" s="118"/>
      <c r="J155" s="118"/>
      <c r="K155" s="118"/>
      <c r="L155" s="118"/>
      <c r="M155" s="118"/>
      <c r="N155" s="118"/>
      <c r="O155" s="118"/>
      <c r="P155" s="119">
        <v>88</v>
      </c>
    </row>
    <row r="156" spans="1:16" s="53" customFormat="1" ht="29">
      <c r="A156" s="40">
        <v>41</v>
      </c>
      <c r="B156" s="40" t="s">
        <v>3</v>
      </c>
      <c r="C156" s="70" t="s">
        <v>170</v>
      </c>
      <c r="D156" s="117">
        <v>17</v>
      </c>
      <c r="E156" s="117">
        <v>12</v>
      </c>
      <c r="F156" s="117">
        <v>12</v>
      </c>
      <c r="G156" s="117">
        <v>17</v>
      </c>
      <c r="H156" s="118"/>
      <c r="I156" s="118"/>
      <c r="J156" s="118"/>
      <c r="K156" s="118"/>
      <c r="L156" s="118"/>
      <c r="M156" s="118"/>
      <c r="N156" s="118"/>
      <c r="O156" s="118"/>
      <c r="P156" s="119">
        <v>58</v>
      </c>
    </row>
    <row r="157" spans="1:16" s="53" customFormat="1" ht="43.5">
      <c r="A157" s="40">
        <v>42</v>
      </c>
      <c r="B157" s="40" t="s">
        <v>3</v>
      </c>
      <c r="C157" s="70" t="s">
        <v>172</v>
      </c>
      <c r="D157" s="117">
        <v>6</v>
      </c>
      <c r="E157" s="117">
        <v>4</v>
      </c>
      <c r="F157" s="117">
        <v>9</v>
      </c>
      <c r="G157" s="117">
        <v>4</v>
      </c>
      <c r="H157" s="118"/>
      <c r="I157" s="118"/>
      <c r="J157" s="118"/>
      <c r="K157" s="118"/>
      <c r="L157" s="118"/>
      <c r="M157" s="118"/>
      <c r="N157" s="118"/>
      <c r="O157" s="118"/>
      <c r="P157" s="119">
        <v>23</v>
      </c>
    </row>
    <row r="158" spans="1:16" s="53" customFormat="1" ht="43.5">
      <c r="A158" s="40">
        <v>43</v>
      </c>
      <c r="B158" s="40" t="s">
        <v>3</v>
      </c>
      <c r="C158" s="70" t="s">
        <v>1659</v>
      </c>
      <c r="D158" s="117"/>
      <c r="E158" s="117"/>
      <c r="F158" s="117"/>
      <c r="G158" s="117">
        <v>1</v>
      </c>
      <c r="H158" s="118"/>
      <c r="I158" s="118"/>
      <c r="J158" s="118"/>
      <c r="K158" s="118"/>
      <c r="L158" s="118"/>
      <c r="M158" s="118"/>
      <c r="N158" s="118"/>
      <c r="O158" s="118"/>
      <c r="P158" s="119">
        <v>1</v>
      </c>
    </row>
    <row r="159" spans="1:16" s="53" customFormat="1" ht="43.5">
      <c r="A159" s="40">
        <v>44</v>
      </c>
      <c r="B159" s="40" t="s">
        <v>3</v>
      </c>
      <c r="C159" s="70" t="s">
        <v>173</v>
      </c>
      <c r="D159" s="117">
        <v>21</v>
      </c>
      <c r="E159" s="117">
        <v>17</v>
      </c>
      <c r="F159" s="117">
        <v>22</v>
      </c>
      <c r="G159" s="117">
        <v>21</v>
      </c>
      <c r="H159" s="118"/>
      <c r="I159" s="118"/>
      <c r="J159" s="118"/>
      <c r="K159" s="118"/>
      <c r="L159" s="118"/>
      <c r="M159" s="118"/>
      <c r="N159" s="118"/>
      <c r="O159" s="118"/>
      <c r="P159" s="119">
        <v>81</v>
      </c>
    </row>
    <row r="160" spans="1:16" s="53" customFormat="1" ht="43.5">
      <c r="A160" s="40">
        <v>45</v>
      </c>
      <c r="B160" s="40" t="s">
        <v>3</v>
      </c>
      <c r="C160" s="70" t="s">
        <v>174</v>
      </c>
      <c r="D160" s="117">
        <v>2</v>
      </c>
      <c r="E160" s="117"/>
      <c r="F160" s="117"/>
      <c r="G160" s="117"/>
      <c r="H160" s="118"/>
      <c r="I160" s="118"/>
      <c r="J160" s="118"/>
      <c r="K160" s="118"/>
      <c r="L160" s="118"/>
      <c r="M160" s="118"/>
      <c r="N160" s="118"/>
      <c r="O160" s="118"/>
      <c r="P160" s="119">
        <v>2</v>
      </c>
    </row>
    <row r="161" spans="1:16" s="53" customFormat="1" ht="72.5">
      <c r="A161" s="40">
        <v>46</v>
      </c>
      <c r="B161" s="40" t="s">
        <v>3</v>
      </c>
      <c r="C161" s="70" t="s">
        <v>175</v>
      </c>
      <c r="D161" s="117">
        <v>118</v>
      </c>
      <c r="E161" s="117">
        <v>226</v>
      </c>
      <c r="F161" s="117">
        <v>221</v>
      </c>
      <c r="G161" s="117">
        <v>260</v>
      </c>
      <c r="H161" s="118"/>
      <c r="I161" s="118"/>
      <c r="J161" s="118"/>
      <c r="K161" s="118"/>
      <c r="L161" s="118"/>
      <c r="M161" s="118"/>
      <c r="N161" s="118"/>
      <c r="O161" s="118"/>
      <c r="P161" s="119">
        <v>825</v>
      </c>
    </row>
    <row r="162" spans="1:16" s="53" customFormat="1" ht="87">
      <c r="A162" s="40">
        <v>47</v>
      </c>
      <c r="B162" s="40" t="s">
        <v>3</v>
      </c>
      <c r="C162" s="70" t="s">
        <v>176</v>
      </c>
      <c r="D162" s="117">
        <v>1686</v>
      </c>
      <c r="E162" s="117">
        <v>1589</v>
      </c>
      <c r="F162" s="117">
        <v>1818</v>
      </c>
      <c r="G162" s="117">
        <v>1878</v>
      </c>
      <c r="H162" s="118"/>
      <c r="I162" s="118"/>
      <c r="J162" s="118"/>
      <c r="K162" s="118"/>
      <c r="L162" s="118"/>
      <c r="M162" s="118"/>
      <c r="N162" s="118"/>
      <c r="O162" s="118"/>
      <c r="P162" s="119">
        <v>6971</v>
      </c>
    </row>
    <row r="163" spans="1:16" s="53" customFormat="1" ht="58">
      <c r="A163" s="40">
        <v>48</v>
      </c>
      <c r="B163" s="40" t="s">
        <v>3</v>
      </c>
      <c r="C163" s="70" t="s">
        <v>177</v>
      </c>
      <c r="D163" s="117">
        <v>5</v>
      </c>
      <c r="E163" s="117">
        <v>10</v>
      </c>
      <c r="F163" s="117">
        <v>7</v>
      </c>
      <c r="G163" s="117">
        <v>14</v>
      </c>
      <c r="H163" s="118"/>
      <c r="I163" s="118"/>
      <c r="J163" s="118"/>
      <c r="K163" s="118"/>
      <c r="L163" s="118"/>
      <c r="M163" s="118"/>
      <c r="N163" s="118"/>
      <c r="O163" s="118"/>
      <c r="P163" s="119">
        <v>36</v>
      </c>
    </row>
    <row r="164" spans="1:16" s="53" customFormat="1" ht="72.5">
      <c r="A164" s="40">
        <v>49</v>
      </c>
      <c r="B164" s="40" t="s">
        <v>3</v>
      </c>
      <c r="C164" s="70" t="s">
        <v>178</v>
      </c>
      <c r="D164" s="117">
        <v>1</v>
      </c>
      <c r="E164" s="117">
        <v>1</v>
      </c>
      <c r="F164" s="117">
        <v>4</v>
      </c>
      <c r="G164" s="117">
        <v>3</v>
      </c>
      <c r="H164" s="118"/>
      <c r="I164" s="118"/>
      <c r="J164" s="118"/>
      <c r="K164" s="118"/>
      <c r="L164" s="118"/>
      <c r="M164" s="118"/>
      <c r="N164" s="118"/>
      <c r="O164" s="118"/>
      <c r="P164" s="119">
        <v>9</v>
      </c>
    </row>
    <row r="165" spans="1:16" s="53" customFormat="1" ht="43.5">
      <c r="A165" s="40">
        <v>50</v>
      </c>
      <c r="B165" s="40" t="s">
        <v>3</v>
      </c>
      <c r="C165" s="70" t="s">
        <v>180</v>
      </c>
      <c r="D165" s="117">
        <v>4</v>
      </c>
      <c r="E165" s="117">
        <v>3</v>
      </c>
      <c r="F165" s="117">
        <v>1</v>
      </c>
      <c r="G165" s="117">
        <v>3</v>
      </c>
      <c r="H165" s="118"/>
      <c r="I165" s="118"/>
      <c r="J165" s="118"/>
      <c r="K165" s="118"/>
      <c r="L165" s="118"/>
      <c r="M165" s="118"/>
      <c r="N165" s="118"/>
      <c r="O165" s="118"/>
      <c r="P165" s="119">
        <v>11</v>
      </c>
    </row>
    <row r="166" spans="1:16" s="53" customFormat="1" ht="58">
      <c r="A166" s="40">
        <v>51</v>
      </c>
      <c r="B166" s="40" t="s">
        <v>3</v>
      </c>
      <c r="C166" s="70" t="s">
        <v>181</v>
      </c>
      <c r="D166" s="117">
        <v>10</v>
      </c>
      <c r="E166" s="117">
        <v>4</v>
      </c>
      <c r="F166" s="117">
        <v>12</v>
      </c>
      <c r="G166" s="117">
        <v>8</v>
      </c>
      <c r="H166" s="118"/>
      <c r="I166" s="118"/>
      <c r="J166" s="118"/>
      <c r="K166" s="118"/>
      <c r="L166" s="118"/>
      <c r="M166" s="118"/>
      <c r="N166" s="118"/>
      <c r="O166" s="118"/>
      <c r="P166" s="119">
        <v>34</v>
      </c>
    </row>
    <row r="167" spans="1:16" s="53" customFormat="1" ht="43.5">
      <c r="A167" s="40">
        <v>52</v>
      </c>
      <c r="B167" s="40" t="s">
        <v>3</v>
      </c>
      <c r="C167" s="70" t="s">
        <v>183</v>
      </c>
      <c r="D167" s="117">
        <v>2</v>
      </c>
      <c r="E167" s="117"/>
      <c r="F167" s="117">
        <v>5</v>
      </c>
      <c r="G167" s="117">
        <v>7</v>
      </c>
      <c r="H167" s="118"/>
      <c r="I167" s="118"/>
      <c r="J167" s="118"/>
      <c r="K167" s="118"/>
      <c r="L167" s="118"/>
      <c r="M167" s="118"/>
      <c r="N167" s="118"/>
      <c r="O167" s="118"/>
      <c r="P167" s="119">
        <v>14</v>
      </c>
    </row>
    <row r="168" spans="1:16" s="53" customFormat="1" ht="43.5">
      <c r="A168" s="40">
        <v>53</v>
      </c>
      <c r="B168" s="40" t="s">
        <v>3</v>
      </c>
      <c r="C168" s="70" t="s">
        <v>184</v>
      </c>
      <c r="D168" s="117">
        <v>2</v>
      </c>
      <c r="E168" s="117"/>
      <c r="F168" s="117"/>
      <c r="G168" s="117">
        <v>2</v>
      </c>
      <c r="H168" s="118"/>
      <c r="I168" s="118"/>
      <c r="J168" s="118"/>
      <c r="K168" s="118"/>
      <c r="L168" s="118"/>
      <c r="M168" s="118"/>
      <c r="N168" s="118"/>
      <c r="O168" s="118"/>
      <c r="P168" s="119">
        <v>4</v>
      </c>
    </row>
    <row r="169" spans="1:16" s="53" customFormat="1" ht="43.5">
      <c r="A169" s="40">
        <v>54</v>
      </c>
      <c r="B169" s="40" t="s">
        <v>3</v>
      </c>
      <c r="C169" s="70" t="s">
        <v>185</v>
      </c>
      <c r="D169" s="117">
        <v>18</v>
      </c>
      <c r="E169" s="117">
        <v>19</v>
      </c>
      <c r="F169" s="117">
        <v>14</v>
      </c>
      <c r="G169" s="117">
        <v>9</v>
      </c>
      <c r="H169" s="118"/>
      <c r="I169" s="118"/>
      <c r="J169" s="118"/>
      <c r="K169" s="118"/>
      <c r="L169" s="118"/>
      <c r="M169" s="118"/>
      <c r="N169" s="118"/>
      <c r="O169" s="118"/>
      <c r="P169" s="119">
        <v>60</v>
      </c>
    </row>
    <row r="170" spans="1:16" s="53" customFormat="1" ht="72.5">
      <c r="A170" s="40">
        <v>55</v>
      </c>
      <c r="B170" s="40" t="s">
        <v>3</v>
      </c>
      <c r="C170" s="70" t="s">
        <v>186</v>
      </c>
      <c r="D170" s="117"/>
      <c r="E170" s="117">
        <v>1</v>
      </c>
      <c r="F170" s="117"/>
      <c r="G170" s="117">
        <v>2</v>
      </c>
      <c r="H170" s="118"/>
      <c r="I170" s="118"/>
      <c r="J170" s="118"/>
      <c r="K170" s="118"/>
      <c r="L170" s="118"/>
      <c r="M170" s="118"/>
      <c r="N170" s="118"/>
      <c r="O170" s="118"/>
      <c r="P170" s="119">
        <v>3</v>
      </c>
    </row>
    <row r="171" spans="1:16" s="53" customFormat="1" ht="72.5">
      <c r="A171" s="40">
        <v>56</v>
      </c>
      <c r="B171" s="40" t="s">
        <v>3</v>
      </c>
      <c r="C171" s="70" t="s">
        <v>187</v>
      </c>
      <c r="D171" s="117">
        <v>11</v>
      </c>
      <c r="E171" s="117">
        <v>13</v>
      </c>
      <c r="F171" s="117">
        <v>10</v>
      </c>
      <c r="G171" s="117">
        <v>13</v>
      </c>
      <c r="H171" s="118"/>
      <c r="I171" s="118"/>
      <c r="J171" s="118"/>
      <c r="K171" s="118"/>
      <c r="L171" s="118"/>
      <c r="M171" s="118"/>
      <c r="N171" s="118"/>
      <c r="O171" s="118"/>
      <c r="P171" s="119">
        <v>47</v>
      </c>
    </row>
    <row r="172" spans="1:16" s="53" customFormat="1" ht="58">
      <c r="A172" s="40">
        <v>57</v>
      </c>
      <c r="B172" s="40" t="s">
        <v>3</v>
      </c>
      <c r="C172" s="70" t="s">
        <v>188</v>
      </c>
      <c r="D172" s="117">
        <v>36</v>
      </c>
      <c r="E172" s="117">
        <v>26</v>
      </c>
      <c r="F172" s="117">
        <v>30</v>
      </c>
      <c r="G172" s="117">
        <v>35</v>
      </c>
      <c r="H172" s="118"/>
      <c r="I172" s="118"/>
      <c r="J172" s="118"/>
      <c r="K172" s="118"/>
      <c r="L172" s="118"/>
      <c r="M172" s="118"/>
      <c r="N172" s="118"/>
      <c r="O172" s="118"/>
      <c r="P172" s="119">
        <v>127</v>
      </c>
    </row>
    <row r="173" spans="1:16" s="53" customFormat="1" ht="58">
      <c r="A173" s="40">
        <v>58</v>
      </c>
      <c r="B173" s="40" t="s">
        <v>3</v>
      </c>
      <c r="C173" s="70" t="s">
        <v>189</v>
      </c>
      <c r="D173" s="117">
        <v>11</v>
      </c>
      <c r="E173" s="117">
        <v>15</v>
      </c>
      <c r="F173" s="117">
        <v>15</v>
      </c>
      <c r="G173" s="117">
        <v>10</v>
      </c>
      <c r="H173" s="118"/>
      <c r="I173" s="118"/>
      <c r="J173" s="118"/>
      <c r="K173" s="118"/>
      <c r="L173" s="118"/>
      <c r="M173" s="118"/>
      <c r="N173" s="118"/>
      <c r="O173" s="118"/>
      <c r="P173" s="119">
        <v>51</v>
      </c>
    </row>
    <row r="174" spans="1:16" s="53" customFormat="1" ht="43.5">
      <c r="A174" s="40">
        <v>59</v>
      </c>
      <c r="B174" s="40" t="s">
        <v>3</v>
      </c>
      <c r="C174" s="70" t="s">
        <v>190</v>
      </c>
      <c r="D174" s="117">
        <v>7</v>
      </c>
      <c r="E174" s="117">
        <v>3</v>
      </c>
      <c r="F174" s="117">
        <v>8</v>
      </c>
      <c r="G174" s="117">
        <v>7</v>
      </c>
      <c r="H174" s="118"/>
      <c r="I174" s="118"/>
      <c r="J174" s="118"/>
      <c r="K174" s="118"/>
      <c r="L174" s="118"/>
      <c r="M174" s="118"/>
      <c r="N174" s="118"/>
      <c r="O174" s="118"/>
      <c r="P174" s="119">
        <v>25</v>
      </c>
    </row>
    <row r="175" spans="1:16" s="53" customFormat="1" ht="43.5">
      <c r="A175" s="40">
        <v>60</v>
      </c>
      <c r="B175" s="40" t="s">
        <v>3</v>
      </c>
      <c r="C175" s="70" t="s">
        <v>191</v>
      </c>
      <c r="D175" s="117">
        <v>7</v>
      </c>
      <c r="E175" s="117">
        <v>6</v>
      </c>
      <c r="F175" s="117">
        <v>4</v>
      </c>
      <c r="G175" s="117">
        <v>13</v>
      </c>
      <c r="H175" s="118"/>
      <c r="I175" s="118"/>
      <c r="J175" s="118"/>
      <c r="K175" s="118"/>
      <c r="L175" s="118"/>
      <c r="M175" s="118"/>
      <c r="N175" s="118"/>
      <c r="O175" s="118"/>
      <c r="P175" s="119">
        <v>30</v>
      </c>
    </row>
    <row r="176" spans="1:16" s="53" customFormat="1" ht="72.5">
      <c r="A176" s="40">
        <v>61</v>
      </c>
      <c r="B176" s="40" t="s">
        <v>3</v>
      </c>
      <c r="C176" s="70" t="s">
        <v>192</v>
      </c>
      <c r="D176" s="117">
        <v>4</v>
      </c>
      <c r="E176" s="117"/>
      <c r="F176" s="117"/>
      <c r="G176" s="117">
        <v>1</v>
      </c>
      <c r="H176" s="118"/>
      <c r="I176" s="118"/>
      <c r="J176" s="118"/>
      <c r="K176" s="118"/>
      <c r="L176" s="118"/>
      <c r="M176" s="118"/>
      <c r="N176" s="118"/>
      <c r="O176" s="118"/>
      <c r="P176" s="119">
        <v>5</v>
      </c>
    </row>
    <row r="177" spans="1:16" s="53" customFormat="1" ht="43.5">
      <c r="A177" s="40">
        <v>62</v>
      </c>
      <c r="B177" s="40" t="s">
        <v>3</v>
      </c>
      <c r="C177" s="70" t="s">
        <v>194</v>
      </c>
      <c r="D177" s="117">
        <v>3</v>
      </c>
      <c r="E177" s="117">
        <v>5</v>
      </c>
      <c r="F177" s="117">
        <v>4</v>
      </c>
      <c r="G177" s="117">
        <v>4</v>
      </c>
      <c r="H177" s="118"/>
      <c r="I177" s="118"/>
      <c r="J177" s="118"/>
      <c r="K177" s="118"/>
      <c r="L177" s="118"/>
      <c r="M177" s="118"/>
      <c r="N177" s="118"/>
      <c r="O177" s="118"/>
      <c r="P177" s="119">
        <v>16</v>
      </c>
    </row>
    <row r="178" spans="1:16" s="53" customFormat="1" ht="58">
      <c r="A178" s="40">
        <v>63</v>
      </c>
      <c r="B178" s="40" t="s">
        <v>3</v>
      </c>
      <c r="C178" s="70" t="s">
        <v>195</v>
      </c>
      <c r="D178" s="117"/>
      <c r="E178" s="117">
        <v>1</v>
      </c>
      <c r="F178" s="117">
        <v>6</v>
      </c>
      <c r="G178" s="117">
        <v>3</v>
      </c>
      <c r="H178" s="118"/>
      <c r="I178" s="118"/>
      <c r="J178" s="118"/>
      <c r="K178" s="118"/>
      <c r="L178" s="118"/>
      <c r="M178" s="118"/>
      <c r="N178" s="118"/>
      <c r="O178" s="118"/>
      <c r="P178" s="119">
        <v>10</v>
      </c>
    </row>
    <row r="179" spans="1:16" s="53" customFormat="1" ht="43.5">
      <c r="A179" s="40">
        <v>64</v>
      </c>
      <c r="B179" s="40" t="s">
        <v>3</v>
      </c>
      <c r="C179" s="70" t="s">
        <v>196</v>
      </c>
      <c r="D179" s="117">
        <v>5</v>
      </c>
      <c r="E179" s="117">
        <v>2</v>
      </c>
      <c r="F179" s="117">
        <v>3</v>
      </c>
      <c r="G179" s="117">
        <v>1</v>
      </c>
      <c r="H179" s="118"/>
      <c r="I179" s="118"/>
      <c r="J179" s="118"/>
      <c r="K179" s="118"/>
      <c r="L179" s="118"/>
      <c r="M179" s="118"/>
      <c r="N179" s="118"/>
      <c r="O179" s="118"/>
      <c r="P179" s="119">
        <v>11</v>
      </c>
    </row>
    <row r="180" spans="1:16" s="53" customFormat="1" ht="43.5">
      <c r="A180" s="40">
        <v>65</v>
      </c>
      <c r="B180" s="40" t="s">
        <v>3</v>
      </c>
      <c r="C180" s="70" t="s">
        <v>197</v>
      </c>
      <c r="D180" s="117">
        <v>25</v>
      </c>
      <c r="E180" s="117">
        <v>30</v>
      </c>
      <c r="F180" s="117">
        <v>22</v>
      </c>
      <c r="G180" s="117">
        <v>24</v>
      </c>
      <c r="H180" s="118"/>
      <c r="I180" s="118"/>
      <c r="J180" s="118"/>
      <c r="K180" s="118"/>
      <c r="L180" s="118"/>
      <c r="M180" s="118"/>
      <c r="N180" s="118"/>
      <c r="O180" s="118"/>
      <c r="P180" s="119">
        <v>101</v>
      </c>
    </row>
    <row r="181" spans="1:16" s="53" customFormat="1" ht="43.5">
      <c r="A181" s="40">
        <v>66</v>
      </c>
      <c r="B181" s="40" t="s">
        <v>3</v>
      </c>
      <c r="C181" s="70" t="s">
        <v>198</v>
      </c>
      <c r="D181" s="117">
        <v>8</v>
      </c>
      <c r="E181" s="117">
        <v>13</v>
      </c>
      <c r="F181" s="117">
        <v>12</v>
      </c>
      <c r="G181" s="117">
        <v>12</v>
      </c>
      <c r="H181" s="118"/>
      <c r="I181" s="118"/>
      <c r="J181" s="118"/>
      <c r="K181" s="118"/>
      <c r="L181" s="118"/>
      <c r="M181" s="118"/>
      <c r="N181" s="118"/>
      <c r="O181" s="118"/>
      <c r="P181" s="119">
        <v>45</v>
      </c>
    </row>
    <row r="182" spans="1:16" s="53" customFormat="1" ht="58">
      <c r="A182" s="40">
        <v>67</v>
      </c>
      <c r="B182" s="40" t="s">
        <v>3</v>
      </c>
      <c r="C182" s="70" t="s">
        <v>199</v>
      </c>
      <c r="D182" s="117">
        <v>65</v>
      </c>
      <c r="E182" s="117">
        <v>65</v>
      </c>
      <c r="F182" s="117">
        <v>70</v>
      </c>
      <c r="G182" s="117">
        <v>68</v>
      </c>
      <c r="H182" s="118"/>
      <c r="I182" s="118"/>
      <c r="J182" s="118"/>
      <c r="K182" s="118"/>
      <c r="L182" s="118"/>
      <c r="M182" s="118"/>
      <c r="N182" s="118"/>
      <c r="O182" s="118"/>
      <c r="P182" s="119">
        <v>268</v>
      </c>
    </row>
    <row r="183" spans="1:16" s="53" customFormat="1" ht="29">
      <c r="A183" s="40">
        <v>68</v>
      </c>
      <c r="B183" s="40" t="s">
        <v>3</v>
      </c>
      <c r="C183" s="70" t="s">
        <v>200</v>
      </c>
      <c r="D183" s="117">
        <v>2</v>
      </c>
      <c r="E183" s="117">
        <v>2</v>
      </c>
      <c r="F183" s="117">
        <v>2</v>
      </c>
      <c r="G183" s="117">
        <v>3</v>
      </c>
      <c r="H183" s="5"/>
      <c r="I183" s="5"/>
      <c r="J183" s="5"/>
      <c r="K183" s="5"/>
      <c r="L183" s="5"/>
      <c r="M183" s="5"/>
      <c r="N183" s="5"/>
      <c r="O183" s="5"/>
      <c r="P183" s="17">
        <v>9</v>
      </c>
    </row>
    <row r="184" spans="1:16" s="53" customFormat="1" ht="43.5">
      <c r="A184" s="40">
        <v>69</v>
      </c>
      <c r="B184" s="40" t="s">
        <v>3</v>
      </c>
      <c r="C184" s="70" t="s">
        <v>201</v>
      </c>
      <c r="D184" s="117">
        <v>1</v>
      </c>
      <c r="E184" s="117">
        <v>1</v>
      </c>
      <c r="F184" s="117">
        <v>1</v>
      </c>
      <c r="G184" s="117"/>
      <c r="H184" s="5"/>
      <c r="I184" s="5"/>
      <c r="J184" s="5"/>
      <c r="K184" s="5"/>
      <c r="L184" s="5"/>
      <c r="M184" s="5"/>
      <c r="N184" s="5"/>
      <c r="O184" s="5"/>
      <c r="P184" s="17">
        <v>3</v>
      </c>
    </row>
    <row r="185" spans="1:16" s="53" customFormat="1" ht="58">
      <c r="A185" s="40">
        <v>70</v>
      </c>
      <c r="B185" s="40" t="s">
        <v>3</v>
      </c>
      <c r="C185" s="70" t="s">
        <v>202</v>
      </c>
      <c r="D185" s="117">
        <v>1</v>
      </c>
      <c r="E185" s="117">
        <v>2</v>
      </c>
      <c r="F185" s="117">
        <v>1</v>
      </c>
      <c r="G185" s="117"/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s="53" customFormat="1" ht="43.5">
      <c r="A186" s="40">
        <v>71</v>
      </c>
      <c r="B186" s="40" t="s">
        <v>3</v>
      </c>
      <c r="C186" s="70" t="s">
        <v>203</v>
      </c>
      <c r="D186" s="117">
        <v>2</v>
      </c>
      <c r="E186" s="117">
        <v>2</v>
      </c>
      <c r="F186" s="117">
        <v>1</v>
      </c>
      <c r="G186" s="117">
        <v>3</v>
      </c>
      <c r="H186" s="5"/>
      <c r="I186" s="5"/>
      <c r="J186" s="5"/>
      <c r="K186" s="5"/>
      <c r="L186" s="5"/>
      <c r="M186" s="5"/>
      <c r="N186" s="5"/>
      <c r="O186" s="5"/>
      <c r="P186" s="17">
        <v>8</v>
      </c>
    </row>
    <row r="187" spans="1:16" s="53" customFormat="1" ht="43.5">
      <c r="A187" s="40">
        <v>72</v>
      </c>
      <c r="B187" s="40" t="s">
        <v>3</v>
      </c>
      <c r="C187" s="70" t="s">
        <v>204</v>
      </c>
      <c r="D187" s="117">
        <v>13</v>
      </c>
      <c r="E187" s="117">
        <v>7</v>
      </c>
      <c r="F187" s="117">
        <v>10</v>
      </c>
      <c r="G187" s="117">
        <v>18</v>
      </c>
      <c r="H187" s="5"/>
      <c r="I187" s="5"/>
      <c r="J187" s="5"/>
      <c r="K187" s="5"/>
      <c r="L187" s="5"/>
      <c r="M187" s="5"/>
      <c r="N187" s="5"/>
      <c r="O187" s="5"/>
      <c r="P187" s="17">
        <v>48</v>
      </c>
    </row>
    <row r="188" spans="1:16" s="53" customFormat="1" ht="43.5">
      <c r="A188" s="40">
        <v>73</v>
      </c>
      <c r="B188" s="40" t="s">
        <v>3</v>
      </c>
      <c r="C188" s="70" t="s">
        <v>206</v>
      </c>
      <c r="D188" s="117">
        <v>145</v>
      </c>
      <c r="E188" s="117">
        <v>127</v>
      </c>
      <c r="F188" s="117">
        <v>200</v>
      </c>
      <c r="G188" s="117">
        <v>195</v>
      </c>
      <c r="H188" s="5"/>
      <c r="I188" s="5"/>
      <c r="J188" s="5"/>
      <c r="K188" s="5"/>
      <c r="L188" s="5"/>
      <c r="M188" s="5"/>
      <c r="N188" s="5"/>
      <c r="O188" s="5"/>
      <c r="P188" s="17">
        <v>667</v>
      </c>
    </row>
    <row r="189" spans="1:16" s="53" customFormat="1" ht="101.5">
      <c r="A189" s="40">
        <v>74</v>
      </c>
      <c r="B189" s="40" t="s">
        <v>3</v>
      </c>
      <c r="C189" s="70" t="s">
        <v>207</v>
      </c>
      <c r="D189" s="117">
        <v>5</v>
      </c>
      <c r="E189" s="117">
        <v>9</v>
      </c>
      <c r="F189" s="117">
        <v>4</v>
      </c>
      <c r="G189" s="117">
        <v>1</v>
      </c>
      <c r="H189" s="5"/>
      <c r="I189" s="5"/>
      <c r="J189" s="5"/>
      <c r="K189" s="5"/>
      <c r="L189" s="5"/>
      <c r="M189" s="5"/>
      <c r="N189" s="5"/>
      <c r="O189" s="5"/>
      <c r="P189" s="17">
        <v>19</v>
      </c>
    </row>
    <row r="190" spans="1:16" s="53" customFormat="1" ht="58">
      <c r="A190" s="40">
        <v>75</v>
      </c>
      <c r="B190" s="40" t="s">
        <v>3</v>
      </c>
      <c r="C190" s="70" t="s">
        <v>208</v>
      </c>
      <c r="D190" s="117">
        <v>148</v>
      </c>
      <c r="E190" s="117">
        <v>188</v>
      </c>
      <c r="F190" s="117">
        <v>261</v>
      </c>
      <c r="G190" s="117">
        <v>212</v>
      </c>
      <c r="H190" s="5"/>
      <c r="I190" s="5"/>
      <c r="J190" s="5"/>
      <c r="K190" s="5"/>
      <c r="L190" s="5"/>
      <c r="M190" s="5"/>
      <c r="N190" s="5"/>
      <c r="O190" s="5"/>
      <c r="P190" s="17">
        <v>809</v>
      </c>
    </row>
    <row r="191" spans="1:16" s="53" customFormat="1" ht="58">
      <c r="A191" s="40">
        <v>76</v>
      </c>
      <c r="B191" s="40" t="s">
        <v>3</v>
      </c>
      <c r="C191" s="70" t="s">
        <v>209</v>
      </c>
      <c r="D191" s="117"/>
      <c r="E191" s="117">
        <v>1</v>
      </c>
      <c r="F191" s="117">
        <v>2</v>
      </c>
      <c r="G191" s="117"/>
      <c r="H191" s="5"/>
      <c r="I191" s="5"/>
      <c r="J191" s="5"/>
      <c r="K191" s="5"/>
      <c r="L191" s="5"/>
      <c r="M191" s="5"/>
      <c r="N191" s="5"/>
      <c r="O191" s="5"/>
      <c r="P191" s="17">
        <v>3</v>
      </c>
    </row>
    <row r="192" spans="1:16" s="53" customFormat="1" ht="43.5">
      <c r="A192" s="40">
        <v>77</v>
      </c>
      <c r="B192" s="40" t="s">
        <v>3</v>
      </c>
      <c r="C192" s="70" t="s">
        <v>210</v>
      </c>
      <c r="D192" s="117">
        <v>23</v>
      </c>
      <c r="E192" s="117">
        <v>15</v>
      </c>
      <c r="F192" s="117">
        <v>20</v>
      </c>
      <c r="G192" s="117">
        <v>14</v>
      </c>
      <c r="H192" s="5"/>
      <c r="I192" s="5"/>
      <c r="J192" s="5"/>
      <c r="K192" s="5"/>
      <c r="L192" s="5"/>
      <c r="M192" s="5"/>
      <c r="N192" s="5"/>
      <c r="O192" s="5"/>
      <c r="P192" s="17">
        <v>72</v>
      </c>
    </row>
    <row r="193" spans="1:16" s="53" customFormat="1" ht="58">
      <c r="A193" s="40">
        <v>78</v>
      </c>
      <c r="B193" s="40" t="s">
        <v>3</v>
      </c>
      <c r="C193" s="70" t="s">
        <v>211</v>
      </c>
      <c r="D193" s="117">
        <v>62</v>
      </c>
      <c r="E193" s="117">
        <v>65</v>
      </c>
      <c r="F193" s="117">
        <v>65</v>
      </c>
      <c r="G193" s="117">
        <v>68</v>
      </c>
      <c r="H193" s="5"/>
      <c r="I193" s="5"/>
      <c r="J193" s="5"/>
      <c r="K193" s="5"/>
      <c r="L193" s="5"/>
      <c r="M193" s="5"/>
      <c r="N193" s="5"/>
      <c r="O193" s="5"/>
      <c r="P193" s="17">
        <v>260</v>
      </c>
    </row>
    <row r="194" spans="1:16" s="53" customFormat="1" ht="58">
      <c r="A194" s="40">
        <v>79</v>
      </c>
      <c r="B194" s="40" t="s">
        <v>3</v>
      </c>
      <c r="C194" s="70" t="s">
        <v>212</v>
      </c>
      <c r="D194" s="117">
        <v>6</v>
      </c>
      <c r="E194" s="117">
        <v>4</v>
      </c>
      <c r="F194" s="117">
        <v>4</v>
      </c>
      <c r="G194" s="117">
        <v>6</v>
      </c>
      <c r="H194" s="5"/>
      <c r="I194" s="5"/>
      <c r="J194" s="5"/>
      <c r="K194" s="5"/>
      <c r="L194" s="5"/>
      <c r="M194" s="5"/>
      <c r="N194" s="5"/>
      <c r="O194" s="5"/>
      <c r="P194" s="17">
        <v>20</v>
      </c>
    </row>
    <row r="195" spans="1:16" s="53" customFormat="1" ht="29">
      <c r="A195" s="40">
        <v>80</v>
      </c>
      <c r="B195" s="40" t="s">
        <v>3</v>
      </c>
      <c r="C195" s="70" t="s">
        <v>214</v>
      </c>
      <c r="D195" s="117">
        <v>19</v>
      </c>
      <c r="E195" s="117">
        <v>20</v>
      </c>
      <c r="F195" s="117">
        <v>31</v>
      </c>
      <c r="G195" s="117">
        <v>26</v>
      </c>
      <c r="H195" s="5"/>
      <c r="I195" s="5"/>
      <c r="J195" s="5"/>
      <c r="K195" s="5"/>
      <c r="L195" s="5"/>
      <c r="M195" s="5"/>
      <c r="N195" s="5"/>
      <c r="O195" s="5"/>
      <c r="P195" s="17">
        <v>96</v>
      </c>
    </row>
    <row r="196" spans="1:16" s="53" customFormat="1" ht="58">
      <c r="A196" s="40">
        <v>81</v>
      </c>
      <c r="B196" s="40" t="s">
        <v>3</v>
      </c>
      <c r="C196" s="70" t="s">
        <v>217</v>
      </c>
      <c r="D196" s="117">
        <v>4</v>
      </c>
      <c r="E196" s="117">
        <v>2</v>
      </c>
      <c r="F196" s="117">
        <v>4</v>
      </c>
      <c r="G196" s="117">
        <v>4</v>
      </c>
      <c r="H196" s="15"/>
      <c r="I196" s="15"/>
      <c r="J196" s="15"/>
      <c r="K196" s="15"/>
      <c r="L196" s="15"/>
      <c r="M196" s="15"/>
      <c r="N196" s="15"/>
      <c r="O196" s="15"/>
      <c r="P196" s="17">
        <v>14</v>
      </c>
    </row>
    <row r="197" spans="1:16" s="53" customFormat="1" ht="29">
      <c r="A197" s="40">
        <v>82</v>
      </c>
      <c r="B197" s="40" t="s">
        <v>3</v>
      </c>
      <c r="C197" s="70" t="s">
        <v>218</v>
      </c>
      <c r="D197" s="117">
        <v>2</v>
      </c>
      <c r="E197" s="117">
        <v>1</v>
      </c>
      <c r="F197" s="117">
        <v>1</v>
      </c>
      <c r="G197" s="117">
        <v>4</v>
      </c>
      <c r="H197" s="15"/>
      <c r="I197" s="15"/>
      <c r="J197" s="15"/>
      <c r="K197" s="15"/>
      <c r="L197" s="15"/>
      <c r="M197" s="15"/>
      <c r="N197" s="15"/>
      <c r="O197" s="15"/>
      <c r="P197" s="17">
        <v>8</v>
      </c>
    </row>
    <row r="198" spans="1:16" s="53" customFormat="1" ht="29">
      <c r="A198" s="40">
        <v>83</v>
      </c>
      <c r="B198" s="40" t="s">
        <v>3</v>
      </c>
      <c r="C198" s="70" t="s">
        <v>220</v>
      </c>
      <c r="D198" s="117">
        <v>16</v>
      </c>
      <c r="E198" s="117">
        <v>24</v>
      </c>
      <c r="F198" s="117">
        <v>24</v>
      </c>
      <c r="G198" s="117">
        <v>26</v>
      </c>
      <c r="H198" s="15"/>
      <c r="I198" s="15"/>
      <c r="J198" s="15"/>
      <c r="K198" s="15"/>
      <c r="L198" s="15"/>
      <c r="M198" s="15"/>
      <c r="N198" s="15"/>
      <c r="O198" s="15"/>
      <c r="P198" s="17">
        <v>90</v>
      </c>
    </row>
    <row r="199" spans="1:16" s="53" customFormat="1" ht="43.5">
      <c r="A199" s="40">
        <v>84</v>
      </c>
      <c r="B199" s="40" t="s">
        <v>3</v>
      </c>
      <c r="C199" s="70" t="s">
        <v>221</v>
      </c>
      <c r="D199" s="117">
        <v>23</v>
      </c>
      <c r="E199" s="117">
        <v>42</v>
      </c>
      <c r="F199" s="117">
        <v>37</v>
      </c>
      <c r="G199" s="117">
        <v>40</v>
      </c>
      <c r="H199" s="15"/>
      <c r="I199" s="15"/>
      <c r="J199" s="15"/>
      <c r="K199" s="15"/>
      <c r="L199" s="15"/>
      <c r="M199" s="15"/>
      <c r="N199" s="15"/>
      <c r="O199" s="15"/>
      <c r="P199" s="17">
        <v>142</v>
      </c>
    </row>
    <row r="200" spans="1:16" s="53" customFormat="1" ht="29">
      <c r="A200" s="40">
        <v>85</v>
      </c>
      <c r="B200" s="40" t="s">
        <v>3</v>
      </c>
      <c r="C200" s="70" t="s">
        <v>222</v>
      </c>
      <c r="D200" s="117">
        <v>3</v>
      </c>
      <c r="E200" s="117">
        <v>7</v>
      </c>
      <c r="F200" s="117"/>
      <c r="G200" s="117">
        <v>6</v>
      </c>
      <c r="H200" s="15"/>
      <c r="I200" s="15"/>
      <c r="J200" s="15"/>
      <c r="K200" s="15"/>
      <c r="L200" s="15"/>
      <c r="M200" s="15"/>
      <c r="N200" s="15"/>
      <c r="O200" s="15"/>
      <c r="P200" s="17">
        <v>16</v>
      </c>
    </row>
    <row r="201" spans="1:16" s="53" customFormat="1" ht="58">
      <c r="A201" s="40">
        <v>86</v>
      </c>
      <c r="B201" s="40" t="s">
        <v>3</v>
      </c>
      <c r="C201" s="70" t="s">
        <v>223</v>
      </c>
      <c r="D201" s="117">
        <v>54</v>
      </c>
      <c r="E201" s="117">
        <v>62</v>
      </c>
      <c r="F201" s="117">
        <v>61</v>
      </c>
      <c r="G201" s="117">
        <v>53</v>
      </c>
      <c r="H201" s="15"/>
      <c r="I201" s="15"/>
      <c r="J201" s="15"/>
      <c r="K201" s="15"/>
      <c r="L201" s="15"/>
      <c r="M201" s="15"/>
      <c r="N201" s="15"/>
      <c r="O201" s="15"/>
      <c r="P201" s="17">
        <v>230</v>
      </c>
    </row>
    <row r="202" spans="1:16" s="53" customFormat="1" ht="29">
      <c r="A202" s="40">
        <v>87</v>
      </c>
      <c r="B202" s="40" t="s">
        <v>3</v>
      </c>
      <c r="C202" s="70" t="s">
        <v>224</v>
      </c>
      <c r="D202" s="117">
        <v>16</v>
      </c>
      <c r="E202" s="117">
        <v>22</v>
      </c>
      <c r="F202" s="117">
        <v>17</v>
      </c>
      <c r="G202" s="117">
        <v>13</v>
      </c>
      <c r="H202" s="15"/>
      <c r="I202" s="15"/>
      <c r="J202" s="15"/>
      <c r="K202" s="15"/>
      <c r="L202" s="15"/>
      <c r="M202" s="15"/>
      <c r="N202" s="15"/>
      <c r="O202" s="15"/>
      <c r="P202" s="17">
        <v>68</v>
      </c>
    </row>
    <row r="203" spans="1:16" s="53" customFormat="1" ht="29">
      <c r="A203" s="40">
        <v>88</v>
      </c>
      <c r="B203" s="40" t="s">
        <v>3</v>
      </c>
      <c r="C203" s="70" t="s">
        <v>227</v>
      </c>
      <c r="D203" s="117"/>
      <c r="E203" s="117"/>
      <c r="F203" s="117">
        <v>7</v>
      </c>
      <c r="G203" s="117">
        <v>4</v>
      </c>
      <c r="H203" s="15"/>
      <c r="I203" s="15"/>
      <c r="J203" s="15"/>
      <c r="K203" s="15"/>
      <c r="L203" s="15"/>
      <c r="M203" s="15"/>
      <c r="N203" s="15"/>
      <c r="O203" s="15"/>
      <c r="P203" s="17">
        <v>11</v>
      </c>
    </row>
    <row r="204" spans="1:16" s="53" customFormat="1" ht="43.5">
      <c r="A204" s="40">
        <v>89</v>
      </c>
      <c r="B204" s="40" t="s">
        <v>3</v>
      </c>
      <c r="C204" s="70" t="s">
        <v>228</v>
      </c>
      <c r="D204" s="117">
        <v>1</v>
      </c>
      <c r="E204" s="117">
        <v>1</v>
      </c>
      <c r="F204" s="117">
        <v>1</v>
      </c>
      <c r="G204" s="117"/>
      <c r="H204" s="15"/>
      <c r="I204" s="15"/>
      <c r="J204" s="15"/>
      <c r="K204" s="15"/>
      <c r="L204" s="15"/>
      <c r="M204" s="15"/>
      <c r="N204" s="15"/>
      <c r="O204" s="15"/>
      <c r="P204" s="17">
        <v>3</v>
      </c>
    </row>
    <row r="205" spans="1:16" s="53" customFormat="1" ht="72.5">
      <c r="A205" s="40">
        <v>90</v>
      </c>
      <c r="B205" s="40" t="s">
        <v>3</v>
      </c>
      <c r="C205" s="70" t="s">
        <v>229</v>
      </c>
      <c r="D205" s="117">
        <v>11</v>
      </c>
      <c r="E205" s="117">
        <v>13</v>
      </c>
      <c r="F205" s="117">
        <v>11</v>
      </c>
      <c r="G205" s="117">
        <v>19</v>
      </c>
      <c r="H205" s="15"/>
      <c r="I205" s="15"/>
      <c r="J205" s="15"/>
      <c r="K205" s="15"/>
      <c r="L205" s="15"/>
      <c r="M205" s="15"/>
      <c r="N205" s="15"/>
      <c r="O205" s="15"/>
      <c r="P205" s="17">
        <v>54</v>
      </c>
    </row>
    <row r="206" spans="1:16" s="53" customFormat="1" ht="43.5">
      <c r="A206" s="40">
        <v>91</v>
      </c>
      <c r="B206" s="40" t="s">
        <v>3</v>
      </c>
      <c r="C206" s="70" t="s">
        <v>232</v>
      </c>
      <c r="D206" s="117">
        <v>7</v>
      </c>
      <c r="E206" s="117"/>
      <c r="F206" s="117"/>
      <c r="G206" s="117"/>
      <c r="H206" s="15"/>
      <c r="I206" s="15"/>
      <c r="J206" s="15"/>
      <c r="K206" s="15"/>
      <c r="L206" s="15"/>
      <c r="M206" s="15"/>
      <c r="N206" s="15"/>
      <c r="O206" s="15"/>
      <c r="P206" s="17">
        <v>7</v>
      </c>
    </row>
    <row r="207" spans="1:16" s="53" customFormat="1" ht="87">
      <c r="A207" s="40">
        <v>92</v>
      </c>
      <c r="B207" s="40" t="s">
        <v>3</v>
      </c>
      <c r="C207" s="70" t="s">
        <v>233</v>
      </c>
      <c r="D207" s="117">
        <v>9</v>
      </c>
      <c r="E207" s="117"/>
      <c r="F207" s="117"/>
      <c r="G207" s="117"/>
      <c r="H207" s="111"/>
      <c r="I207" s="111"/>
      <c r="J207" s="111"/>
      <c r="K207" s="111"/>
      <c r="L207" s="111"/>
      <c r="M207" s="111"/>
      <c r="N207" s="111"/>
      <c r="O207" s="111"/>
      <c r="P207" s="17">
        <v>9</v>
      </c>
    </row>
    <row r="208" spans="1:16" s="53" customFormat="1" ht="58">
      <c r="A208" s="40">
        <v>93</v>
      </c>
      <c r="B208" s="40" t="s">
        <v>3</v>
      </c>
      <c r="C208" s="70" t="s">
        <v>234</v>
      </c>
      <c r="D208" s="117"/>
      <c r="E208" s="117">
        <v>2</v>
      </c>
      <c r="F208" s="117">
        <v>3</v>
      </c>
      <c r="G208" s="117">
        <v>3</v>
      </c>
      <c r="H208" s="111"/>
      <c r="I208" s="111"/>
      <c r="J208" s="111"/>
      <c r="K208" s="111"/>
      <c r="L208" s="111"/>
      <c r="M208" s="111"/>
      <c r="N208" s="111"/>
      <c r="O208" s="111"/>
      <c r="P208" s="17">
        <v>8</v>
      </c>
    </row>
    <row r="209" spans="1:16" s="53" customFormat="1" ht="43.5">
      <c r="A209" s="40">
        <v>94</v>
      </c>
      <c r="B209" s="40" t="s">
        <v>3</v>
      </c>
      <c r="C209" s="70" t="s">
        <v>235</v>
      </c>
      <c r="D209" s="117">
        <v>22</v>
      </c>
      <c r="E209" s="117">
        <v>21</v>
      </c>
      <c r="F209" s="117">
        <v>26</v>
      </c>
      <c r="G209" s="117">
        <v>33</v>
      </c>
      <c r="H209" s="111"/>
      <c r="I209" s="111"/>
      <c r="J209" s="111"/>
      <c r="K209" s="111"/>
      <c r="L209" s="111"/>
      <c r="M209" s="111"/>
      <c r="N209" s="111"/>
      <c r="O209" s="111"/>
      <c r="P209" s="17">
        <v>102</v>
      </c>
    </row>
    <row r="210" spans="1:16" s="53" customFormat="1" ht="43.5">
      <c r="A210" s="40">
        <v>95</v>
      </c>
      <c r="B210" s="40" t="s">
        <v>3</v>
      </c>
      <c r="C210" s="70" t="s">
        <v>237</v>
      </c>
      <c r="D210" s="117">
        <v>94</v>
      </c>
      <c r="E210" s="117">
        <v>128</v>
      </c>
      <c r="F210" s="117">
        <v>177</v>
      </c>
      <c r="G210" s="117">
        <v>172</v>
      </c>
      <c r="H210" s="111"/>
      <c r="I210" s="111"/>
      <c r="J210" s="111"/>
      <c r="K210" s="111"/>
      <c r="L210" s="111"/>
      <c r="M210" s="111"/>
      <c r="N210" s="111"/>
      <c r="O210" s="111"/>
      <c r="P210" s="17">
        <v>571</v>
      </c>
    </row>
    <row r="211" spans="1:16" s="53" customFormat="1" ht="43.5">
      <c r="A211" s="40">
        <v>96</v>
      </c>
      <c r="B211" s="40" t="s">
        <v>3</v>
      </c>
      <c r="C211" s="70" t="s">
        <v>238</v>
      </c>
      <c r="D211" s="117">
        <v>13</v>
      </c>
      <c r="E211" s="117">
        <v>17</v>
      </c>
      <c r="F211" s="117">
        <v>14</v>
      </c>
      <c r="G211" s="117">
        <v>19</v>
      </c>
      <c r="H211" s="111"/>
      <c r="I211" s="111"/>
      <c r="J211" s="111"/>
      <c r="K211" s="111"/>
      <c r="L211" s="111"/>
      <c r="M211" s="111"/>
      <c r="N211" s="111"/>
      <c r="O211" s="111"/>
      <c r="P211" s="17">
        <v>63</v>
      </c>
    </row>
    <row r="212" spans="1:16" s="53" customFormat="1" ht="43.5">
      <c r="A212" s="40">
        <v>97</v>
      </c>
      <c r="B212" s="40" t="s">
        <v>3</v>
      </c>
      <c r="C212" s="70" t="s">
        <v>239</v>
      </c>
      <c r="D212" s="117">
        <v>11</v>
      </c>
      <c r="E212" s="117">
        <v>6</v>
      </c>
      <c r="F212" s="117">
        <v>9</v>
      </c>
      <c r="G212" s="117">
        <v>3</v>
      </c>
      <c r="H212" s="111"/>
      <c r="I212" s="111"/>
      <c r="J212" s="111"/>
      <c r="K212" s="111"/>
      <c r="L212" s="111"/>
      <c r="M212" s="111"/>
      <c r="N212" s="111"/>
      <c r="O212" s="111"/>
      <c r="P212" s="17">
        <v>29</v>
      </c>
    </row>
    <row r="213" spans="1:16" s="53" customFormat="1" ht="43.5">
      <c r="A213" s="40">
        <v>98</v>
      </c>
      <c r="B213" s="40" t="s">
        <v>3</v>
      </c>
      <c r="C213" s="70" t="s">
        <v>240</v>
      </c>
      <c r="D213" s="117">
        <v>14</v>
      </c>
      <c r="E213" s="117">
        <v>23</v>
      </c>
      <c r="F213" s="117">
        <v>24</v>
      </c>
      <c r="G213" s="117">
        <v>16</v>
      </c>
      <c r="H213" s="111"/>
      <c r="I213" s="111"/>
      <c r="J213" s="111"/>
      <c r="K213" s="111"/>
      <c r="L213" s="111"/>
      <c r="M213" s="111"/>
      <c r="N213" s="111"/>
      <c r="O213" s="111"/>
      <c r="P213" s="17">
        <v>77</v>
      </c>
    </row>
    <row r="214" spans="1:16" s="53" customFormat="1" ht="43.5">
      <c r="A214" s="40">
        <v>99</v>
      </c>
      <c r="B214" s="40" t="s">
        <v>3</v>
      </c>
      <c r="C214" s="70" t="s">
        <v>241</v>
      </c>
      <c r="D214" s="117">
        <v>8</v>
      </c>
      <c r="E214" s="117">
        <v>6</v>
      </c>
      <c r="F214" s="117">
        <v>7</v>
      </c>
      <c r="G214" s="117">
        <v>6</v>
      </c>
      <c r="H214" s="111"/>
      <c r="I214" s="111"/>
      <c r="J214" s="111"/>
      <c r="K214" s="111"/>
      <c r="L214" s="111"/>
      <c r="M214" s="111"/>
      <c r="N214" s="111"/>
      <c r="O214" s="111"/>
      <c r="P214" s="17">
        <v>27</v>
      </c>
    </row>
    <row r="215" spans="1:16" s="53" customFormat="1" ht="58">
      <c r="A215" s="40">
        <v>100</v>
      </c>
      <c r="B215" s="40" t="s">
        <v>3</v>
      </c>
      <c r="C215" s="70" t="s">
        <v>242</v>
      </c>
      <c r="D215" s="117">
        <v>5</v>
      </c>
      <c r="E215" s="117">
        <v>12</v>
      </c>
      <c r="F215" s="117">
        <v>15</v>
      </c>
      <c r="G215" s="117">
        <v>10</v>
      </c>
      <c r="H215" s="111"/>
      <c r="I215" s="111"/>
      <c r="J215" s="111"/>
      <c r="K215" s="111"/>
      <c r="L215" s="111"/>
      <c r="M215" s="111"/>
      <c r="N215" s="111"/>
      <c r="O215" s="111"/>
      <c r="P215" s="17">
        <v>42</v>
      </c>
    </row>
    <row r="216" spans="1:16" s="53" customFormat="1" ht="58">
      <c r="A216" s="40">
        <v>101</v>
      </c>
      <c r="B216" s="40" t="s">
        <v>3</v>
      </c>
      <c r="C216" s="70" t="s">
        <v>243</v>
      </c>
      <c r="D216" s="117">
        <v>1</v>
      </c>
      <c r="E216" s="117">
        <v>2</v>
      </c>
      <c r="F216" s="117">
        <v>1</v>
      </c>
      <c r="G216" s="117">
        <v>1</v>
      </c>
      <c r="H216" s="111"/>
      <c r="I216" s="111"/>
      <c r="J216" s="111"/>
      <c r="K216" s="111"/>
      <c r="L216" s="111"/>
      <c r="M216" s="111"/>
      <c r="N216" s="111"/>
      <c r="O216" s="111"/>
      <c r="P216" s="17">
        <v>5</v>
      </c>
    </row>
    <row r="217" spans="1:16" s="53" customFormat="1" ht="58">
      <c r="A217" s="40">
        <v>102</v>
      </c>
      <c r="B217" s="40" t="s">
        <v>3</v>
      </c>
      <c r="C217" s="70" t="s">
        <v>244</v>
      </c>
      <c r="D217" s="117">
        <v>18</v>
      </c>
      <c r="E217" s="117">
        <v>13</v>
      </c>
      <c r="F217" s="117">
        <v>18</v>
      </c>
      <c r="G217" s="117">
        <v>17</v>
      </c>
      <c r="H217" s="111"/>
      <c r="I217" s="111"/>
      <c r="J217" s="111"/>
      <c r="K217" s="111"/>
      <c r="L217" s="111"/>
      <c r="M217" s="111"/>
      <c r="N217" s="111"/>
      <c r="O217" s="111"/>
      <c r="P217" s="17">
        <v>66</v>
      </c>
    </row>
    <row r="218" spans="1:16" s="53" customFormat="1" ht="101.5">
      <c r="A218" s="40">
        <v>103</v>
      </c>
      <c r="B218" s="40" t="s">
        <v>3</v>
      </c>
      <c r="C218" s="70" t="s">
        <v>246</v>
      </c>
      <c r="D218" s="117"/>
      <c r="E218" s="117">
        <v>1</v>
      </c>
      <c r="F218" s="117"/>
      <c r="G218" s="117"/>
      <c r="H218" s="111"/>
      <c r="I218" s="111"/>
      <c r="J218" s="111"/>
      <c r="K218" s="111"/>
      <c r="L218" s="111"/>
      <c r="M218" s="111"/>
      <c r="N218" s="111"/>
      <c r="O218" s="111"/>
      <c r="P218" s="17">
        <v>1</v>
      </c>
    </row>
    <row r="219" spans="1:16" s="53" customFormat="1" ht="72.5">
      <c r="A219" s="40">
        <v>104</v>
      </c>
      <c r="B219" s="40" t="s">
        <v>3</v>
      </c>
      <c r="C219" s="70" t="s">
        <v>248</v>
      </c>
      <c r="D219" s="117">
        <v>1</v>
      </c>
      <c r="E219" s="117">
        <v>2</v>
      </c>
      <c r="F219" s="117">
        <v>1</v>
      </c>
      <c r="G219" s="117"/>
      <c r="H219" s="111"/>
      <c r="I219" s="111"/>
      <c r="J219" s="111"/>
      <c r="K219" s="111"/>
      <c r="L219" s="111"/>
      <c r="M219" s="111"/>
      <c r="N219" s="111"/>
      <c r="O219" s="111"/>
      <c r="P219" s="17">
        <v>4</v>
      </c>
    </row>
    <row r="220" spans="1:16" s="53" customFormat="1" ht="58">
      <c r="A220" s="40">
        <v>105</v>
      </c>
      <c r="B220" s="40" t="s">
        <v>3</v>
      </c>
      <c r="C220" s="70" t="s">
        <v>249</v>
      </c>
      <c r="D220" s="117">
        <v>8</v>
      </c>
      <c r="E220" s="117">
        <v>7</v>
      </c>
      <c r="F220" s="117">
        <v>7</v>
      </c>
      <c r="G220" s="117">
        <v>10</v>
      </c>
      <c r="H220" s="15"/>
      <c r="I220" s="15"/>
      <c r="J220" s="15"/>
      <c r="K220" s="15"/>
      <c r="L220" s="15"/>
      <c r="M220" s="15"/>
      <c r="N220" s="15"/>
      <c r="O220" s="15"/>
      <c r="P220" s="17">
        <v>32</v>
      </c>
    </row>
    <row r="221" spans="1:16" s="53" customFormat="1" ht="43.5">
      <c r="A221" s="40">
        <v>106</v>
      </c>
      <c r="B221" s="40" t="s">
        <v>3</v>
      </c>
      <c r="C221" s="70" t="s">
        <v>250</v>
      </c>
      <c r="D221" s="117">
        <v>16</v>
      </c>
      <c r="E221" s="117">
        <v>13</v>
      </c>
      <c r="F221" s="117">
        <v>13</v>
      </c>
      <c r="G221" s="117">
        <v>17</v>
      </c>
      <c r="H221" s="15"/>
      <c r="I221" s="15"/>
      <c r="J221" s="15"/>
      <c r="K221" s="15"/>
      <c r="L221" s="15"/>
      <c r="M221" s="15"/>
      <c r="N221" s="15"/>
      <c r="O221" s="15"/>
      <c r="P221" s="17">
        <v>59</v>
      </c>
    </row>
    <row r="222" spans="1:16" s="53" customFormat="1" ht="58">
      <c r="A222" s="40">
        <v>107</v>
      </c>
      <c r="B222" s="40" t="s">
        <v>3</v>
      </c>
      <c r="C222" s="70" t="s">
        <v>251</v>
      </c>
      <c r="D222" s="117">
        <v>34</v>
      </c>
      <c r="E222" s="117">
        <v>38</v>
      </c>
      <c r="F222" s="117">
        <v>37</v>
      </c>
      <c r="G222" s="117">
        <v>48</v>
      </c>
      <c r="H222" s="15"/>
      <c r="I222" s="15"/>
      <c r="J222" s="15"/>
      <c r="K222" s="15"/>
      <c r="L222" s="15"/>
      <c r="M222" s="15"/>
      <c r="N222" s="15"/>
      <c r="O222" s="15"/>
      <c r="P222" s="17">
        <v>157</v>
      </c>
    </row>
    <row r="223" spans="1:16" s="53" customFormat="1" ht="43.5">
      <c r="A223" s="40">
        <v>108</v>
      </c>
      <c r="B223" s="40" t="s">
        <v>3</v>
      </c>
      <c r="C223" s="70" t="s">
        <v>252</v>
      </c>
      <c r="D223" s="117">
        <v>1</v>
      </c>
      <c r="E223" s="117">
        <v>1</v>
      </c>
      <c r="F223" s="117">
        <v>1</v>
      </c>
      <c r="G223" s="117"/>
      <c r="H223" s="15"/>
      <c r="I223" s="15"/>
      <c r="J223" s="15"/>
      <c r="K223" s="15"/>
      <c r="L223" s="15"/>
      <c r="M223" s="15"/>
      <c r="N223" s="15"/>
      <c r="O223" s="15"/>
      <c r="P223" s="17">
        <v>3</v>
      </c>
    </row>
    <row r="224" spans="1:16" s="53" customFormat="1" ht="43.5">
      <c r="A224" s="40">
        <v>109</v>
      </c>
      <c r="B224" s="40" t="s">
        <v>3</v>
      </c>
      <c r="C224" s="70" t="s">
        <v>1660</v>
      </c>
      <c r="D224" s="117"/>
      <c r="E224" s="117"/>
      <c r="F224" s="117"/>
      <c r="G224" s="117">
        <v>1</v>
      </c>
      <c r="H224" s="111"/>
      <c r="I224" s="111"/>
      <c r="J224" s="111"/>
      <c r="K224" s="111"/>
      <c r="L224" s="111"/>
      <c r="M224" s="111"/>
      <c r="N224" s="111"/>
      <c r="O224" s="111"/>
      <c r="P224" s="17">
        <v>1</v>
      </c>
    </row>
    <row r="225" spans="1:16" s="53" customFormat="1" ht="29">
      <c r="A225" s="40">
        <v>110</v>
      </c>
      <c r="B225" s="40" t="s">
        <v>3</v>
      </c>
      <c r="C225" s="70" t="s">
        <v>253</v>
      </c>
      <c r="D225" s="117">
        <v>13</v>
      </c>
      <c r="E225" s="117">
        <v>17</v>
      </c>
      <c r="F225" s="117">
        <v>14</v>
      </c>
      <c r="G225" s="117">
        <v>9</v>
      </c>
      <c r="H225" s="111"/>
      <c r="I225" s="111"/>
      <c r="J225" s="111"/>
      <c r="K225" s="111"/>
      <c r="L225" s="111"/>
      <c r="M225" s="111"/>
      <c r="N225" s="111"/>
      <c r="O225" s="111"/>
      <c r="P225" s="17">
        <v>53</v>
      </c>
    </row>
    <row r="226" spans="1:16" s="53" customFormat="1" ht="43.5">
      <c r="A226" s="40">
        <v>111</v>
      </c>
      <c r="B226" s="40" t="s">
        <v>3</v>
      </c>
      <c r="C226" s="70" t="s">
        <v>254</v>
      </c>
      <c r="D226" s="117">
        <v>133</v>
      </c>
      <c r="E226" s="117">
        <v>141</v>
      </c>
      <c r="F226" s="117">
        <v>165</v>
      </c>
      <c r="G226" s="117">
        <v>160</v>
      </c>
      <c r="H226" s="111"/>
      <c r="I226" s="111"/>
      <c r="J226" s="111"/>
      <c r="K226" s="111"/>
      <c r="L226" s="111"/>
      <c r="M226" s="111"/>
      <c r="N226" s="111"/>
      <c r="O226" s="111"/>
      <c r="P226" s="17">
        <v>599</v>
      </c>
    </row>
    <row r="227" spans="1:16" s="53" customFormat="1" ht="58">
      <c r="A227" s="40">
        <v>112</v>
      </c>
      <c r="B227" s="40" t="s">
        <v>3</v>
      </c>
      <c r="C227" s="70" t="s">
        <v>255</v>
      </c>
      <c r="D227" s="117"/>
      <c r="E227" s="117">
        <v>1</v>
      </c>
      <c r="F227" s="117"/>
      <c r="G227" s="117"/>
      <c r="H227" s="111"/>
      <c r="I227" s="111"/>
      <c r="J227" s="111"/>
      <c r="K227" s="111"/>
      <c r="L227" s="111"/>
      <c r="M227" s="111"/>
      <c r="N227" s="111"/>
      <c r="O227" s="111"/>
      <c r="P227" s="17">
        <v>1</v>
      </c>
    </row>
    <row r="228" spans="1:16" s="53" customFormat="1" ht="58">
      <c r="A228" s="40">
        <v>113</v>
      </c>
      <c r="B228" s="40" t="s">
        <v>3</v>
      </c>
      <c r="C228" s="70" t="s">
        <v>256</v>
      </c>
      <c r="D228" s="117">
        <v>7</v>
      </c>
      <c r="E228" s="117">
        <v>16</v>
      </c>
      <c r="F228" s="117">
        <v>14</v>
      </c>
      <c r="G228" s="117">
        <v>26</v>
      </c>
      <c r="H228" s="111"/>
      <c r="I228" s="111"/>
      <c r="J228" s="111"/>
      <c r="K228" s="111"/>
      <c r="L228" s="111"/>
      <c r="M228" s="111"/>
      <c r="N228" s="111"/>
      <c r="O228" s="111"/>
      <c r="P228" s="17">
        <v>63</v>
      </c>
    </row>
    <row r="229" spans="1:16" s="53" customFormat="1" ht="29">
      <c r="A229" s="40">
        <v>114</v>
      </c>
      <c r="B229" s="40" t="s">
        <v>3</v>
      </c>
      <c r="C229" s="70" t="s">
        <v>257</v>
      </c>
      <c r="D229" s="117">
        <v>3</v>
      </c>
      <c r="E229" s="117">
        <v>1</v>
      </c>
      <c r="F229" s="117">
        <v>3</v>
      </c>
      <c r="G229" s="117">
        <v>3</v>
      </c>
      <c r="H229" s="111"/>
      <c r="I229" s="111"/>
      <c r="J229" s="111"/>
      <c r="K229" s="111"/>
      <c r="L229" s="111"/>
      <c r="M229" s="111"/>
      <c r="N229" s="111"/>
      <c r="O229" s="111"/>
      <c r="P229" s="17">
        <v>10</v>
      </c>
    </row>
    <row r="230" spans="1:16" s="53" customFormat="1" ht="58">
      <c r="A230" s="40">
        <v>115</v>
      </c>
      <c r="B230" s="40" t="s">
        <v>3</v>
      </c>
      <c r="C230" s="70" t="s">
        <v>258</v>
      </c>
      <c r="D230" s="117">
        <v>108</v>
      </c>
      <c r="E230" s="117">
        <v>99</v>
      </c>
      <c r="F230" s="117">
        <v>105</v>
      </c>
      <c r="G230" s="117">
        <v>113</v>
      </c>
      <c r="H230" s="111"/>
      <c r="I230" s="111"/>
      <c r="J230" s="111"/>
      <c r="K230" s="111"/>
      <c r="L230" s="111"/>
      <c r="M230" s="111"/>
      <c r="N230" s="111"/>
      <c r="O230" s="111"/>
      <c r="P230" s="17">
        <v>425</v>
      </c>
    </row>
    <row r="231" spans="1:16" s="53" customFormat="1" ht="29">
      <c r="A231" s="40">
        <v>116</v>
      </c>
      <c r="B231" s="40" t="s">
        <v>3</v>
      </c>
      <c r="C231" s="70" t="s">
        <v>260</v>
      </c>
      <c r="D231" s="117">
        <v>4</v>
      </c>
      <c r="E231" s="117">
        <v>1</v>
      </c>
      <c r="F231" s="117">
        <v>2</v>
      </c>
      <c r="G231" s="117">
        <v>2</v>
      </c>
      <c r="H231" s="111"/>
      <c r="I231" s="111"/>
      <c r="J231" s="111"/>
      <c r="K231" s="111"/>
      <c r="L231" s="111"/>
      <c r="M231" s="111"/>
      <c r="N231" s="111"/>
      <c r="O231" s="111"/>
      <c r="P231" s="17">
        <v>9</v>
      </c>
    </row>
    <row r="232" spans="1:16" s="53" customFormat="1" ht="58">
      <c r="A232" s="40">
        <v>117</v>
      </c>
      <c r="B232" s="40" t="s">
        <v>3</v>
      </c>
      <c r="C232" s="70" t="s">
        <v>261</v>
      </c>
      <c r="D232" s="117">
        <v>13</v>
      </c>
      <c r="E232" s="117">
        <v>13</v>
      </c>
      <c r="F232" s="117">
        <v>13</v>
      </c>
      <c r="G232" s="117">
        <v>15</v>
      </c>
      <c r="H232" s="111"/>
      <c r="I232" s="111"/>
      <c r="J232" s="111"/>
      <c r="K232" s="111"/>
      <c r="L232" s="111"/>
      <c r="M232" s="111"/>
      <c r="N232" s="111"/>
      <c r="O232" s="111"/>
      <c r="P232" s="17">
        <v>54</v>
      </c>
    </row>
    <row r="233" spans="1:16" s="53" customFormat="1" ht="58">
      <c r="A233" s="40">
        <v>118</v>
      </c>
      <c r="B233" s="40" t="s">
        <v>3</v>
      </c>
      <c r="C233" s="70" t="s">
        <v>262</v>
      </c>
      <c r="D233" s="117">
        <v>18</v>
      </c>
      <c r="E233" s="117">
        <v>19</v>
      </c>
      <c r="F233" s="117">
        <v>17</v>
      </c>
      <c r="G233" s="117">
        <v>14</v>
      </c>
      <c r="H233" s="111"/>
      <c r="I233" s="111"/>
      <c r="J233" s="111"/>
      <c r="K233" s="111"/>
      <c r="L233" s="111"/>
      <c r="M233" s="111"/>
      <c r="N233" s="111"/>
      <c r="O233" s="111"/>
      <c r="P233" s="17">
        <v>68</v>
      </c>
    </row>
    <row r="234" spans="1:16" s="53" customFormat="1" ht="72.5">
      <c r="A234" s="40">
        <v>119</v>
      </c>
      <c r="B234" s="40" t="s">
        <v>3</v>
      </c>
      <c r="C234" s="70" t="s">
        <v>263</v>
      </c>
      <c r="D234" s="117">
        <v>2</v>
      </c>
      <c r="E234" s="117">
        <v>3</v>
      </c>
      <c r="F234" s="117">
        <v>3</v>
      </c>
      <c r="G234" s="117">
        <v>2</v>
      </c>
      <c r="H234" s="111"/>
      <c r="I234" s="111"/>
      <c r="J234" s="111"/>
      <c r="K234" s="111"/>
      <c r="L234" s="111"/>
      <c r="M234" s="111"/>
      <c r="N234" s="111"/>
      <c r="O234" s="111"/>
      <c r="P234" s="17">
        <v>10</v>
      </c>
    </row>
    <row r="235" spans="1:16" s="53" customFormat="1" ht="43.5">
      <c r="A235" s="40">
        <v>120</v>
      </c>
      <c r="B235" s="40" t="s">
        <v>3</v>
      </c>
      <c r="C235" s="70" t="s">
        <v>264</v>
      </c>
      <c r="D235" s="117">
        <v>2</v>
      </c>
      <c r="E235" s="117">
        <v>1</v>
      </c>
      <c r="F235" s="117"/>
      <c r="G235" s="117"/>
      <c r="H235" s="111"/>
      <c r="I235" s="111"/>
      <c r="J235" s="111"/>
      <c r="K235" s="111"/>
      <c r="L235" s="111"/>
      <c r="M235" s="111"/>
      <c r="N235" s="111"/>
      <c r="O235" s="111"/>
      <c r="P235" s="17">
        <v>3</v>
      </c>
    </row>
    <row r="236" spans="1:16" s="53" customFormat="1" ht="29">
      <c r="A236" s="40">
        <v>121</v>
      </c>
      <c r="B236" s="40" t="s">
        <v>3</v>
      </c>
      <c r="C236" s="70" t="s">
        <v>265</v>
      </c>
      <c r="D236" s="117"/>
      <c r="E236" s="117">
        <v>1</v>
      </c>
      <c r="F236" s="117"/>
      <c r="G236" s="117">
        <v>3</v>
      </c>
      <c r="H236" s="111"/>
      <c r="I236" s="111"/>
      <c r="J236" s="111"/>
      <c r="K236" s="111"/>
      <c r="L236" s="111"/>
      <c r="M236" s="111"/>
      <c r="N236" s="111"/>
      <c r="O236" s="111"/>
      <c r="P236" s="17">
        <v>4</v>
      </c>
    </row>
    <row r="237" spans="1:16" s="53" customFormat="1" ht="43.5">
      <c r="A237" s="40">
        <v>122</v>
      </c>
      <c r="B237" s="40" t="s">
        <v>3</v>
      </c>
      <c r="C237" s="70" t="s">
        <v>266</v>
      </c>
      <c r="D237" s="117">
        <v>7</v>
      </c>
      <c r="E237" s="117">
        <v>4</v>
      </c>
      <c r="F237" s="117">
        <v>3</v>
      </c>
      <c r="G237" s="117">
        <v>5</v>
      </c>
      <c r="H237" s="15"/>
      <c r="I237" s="15"/>
      <c r="J237" s="15"/>
      <c r="K237" s="15"/>
      <c r="L237" s="15"/>
      <c r="M237" s="15"/>
      <c r="N237" s="15"/>
      <c r="O237" s="15"/>
      <c r="P237" s="17">
        <v>19</v>
      </c>
    </row>
    <row r="238" spans="1:16" s="53" customFormat="1" ht="29">
      <c r="A238" s="40">
        <v>123</v>
      </c>
      <c r="B238" s="40" t="s">
        <v>3</v>
      </c>
      <c r="C238" s="70" t="s">
        <v>267</v>
      </c>
      <c r="D238" s="117">
        <v>7</v>
      </c>
      <c r="E238" s="117">
        <v>8</v>
      </c>
      <c r="F238" s="117">
        <v>5</v>
      </c>
      <c r="G238" s="117">
        <v>6</v>
      </c>
      <c r="H238" s="15"/>
      <c r="I238" s="15"/>
      <c r="J238" s="15"/>
      <c r="K238" s="15"/>
      <c r="L238" s="15"/>
      <c r="M238" s="15"/>
      <c r="N238" s="15"/>
      <c r="O238" s="15"/>
      <c r="P238" s="17">
        <v>26</v>
      </c>
    </row>
    <row r="239" spans="1:16" s="53" customFormat="1" ht="58">
      <c r="A239" s="40">
        <v>124</v>
      </c>
      <c r="B239" s="40" t="s">
        <v>3</v>
      </c>
      <c r="C239" s="70" t="s">
        <v>268</v>
      </c>
      <c r="D239" s="117">
        <v>40</v>
      </c>
      <c r="E239" s="117">
        <v>43</v>
      </c>
      <c r="F239" s="117">
        <v>53</v>
      </c>
      <c r="G239" s="117">
        <v>52</v>
      </c>
      <c r="H239" s="15"/>
      <c r="I239" s="15"/>
      <c r="J239" s="15"/>
      <c r="K239" s="15"/>
      <c r="L239" s="15"/>
      <c r="M239" s="15"/>
      <c r="N239" s="15"/>
      <c r="O239" s="15"/>
      <c r="P239" s="17">
        <v>188</v>
      </c>
    </row>
    <row r="240" spans="1:16" s="53" customFormat="1" ht="29">
      <c r="A240" s="40">
        <v>125</v>
      </c>
      <c r="B240" s="40" t="s">
        <v>3</v>
      </c>
      <c r="C240" s="70" t="s">
        <v>269</v>
      </c>
      <c r="D240" s="117">
        <v>1</v>
      </c>
      <c r="E240" s="117"/>
      <c r="F240" s="117">
        <v>2</v>
      </c>
      <c r="G240" s="117">
        <v>2</v>
      </c>
      <c r="H240" s="111"/>
      <c r="I240" s="111"/>
      <c r="J240" s="111"/>
      <c r="K240" s="111"/>
      <c r="L240" s="111"/>
      <c r="M240" s="111"/>
      <c r="N240" s="111"/>
      <c r="O240" s="111"/>
      <c r="P240" s="17">
        <v>5</v>
      </c>
    </row>
    <row r="241" spans="1:16" s="53" customFormat="1" ht="43.5">
      <c r="A241" s="40">
        <v>126</v>
      </c>
      <c r="B241" s="40" t="s">
        <v>3</v>
      </c>
      <c r="C241" s="70" t="s">
        <v>270</v>
      </c>
      <c r="D241" s="117">
        <v>18</v>
      </c>
      <c r="E241" s="117">
        <v>15</v>
      </c>
      <c r="F241" s="117">
        <v>16</v>
      </c>
      <c r="G241" s="117">
        <v>12</v>
      </c>
      <c r="H241" s="111"/>
      <c r="I241" s="111"/>
      <c r="J241" s="111"/>
      <c r="K241" s="111"/>
      <c r="L241" s="111"/>
      <c r="M241" s="111"/>
      <c r="N241" s="111"/>
      <c r="O241" s="111"/>
      <c r="P241" s="17">
        <v>61</v>
      </c>
    </row>
    <row r="242" spans="1:16" s="53" customFormat="1" ht="43.5">
      <c r="A242" s="40">
        <v>127</v>
      </c>
      <c r="B242" s="40" t="s">
        <v>3</v>
      </c>
      <c r="C242" s="70" t="s">
        <v>271</v>
      </c>
      <c r="D242" s="117">
        <v>7</v>
      </c>
      <c r="E242" s="117">
        <v>9</v>
      </c>
      <c r="F242" s="117">
        <v>9</v>
      </c>
      <c r="G242" s="117">
        <v>11</v>
      </c>
      <c r="H242" s="111"/>
      <c r="I242" s="111"/>
      <c r="J242" s="111"/>
      <c r="K242" s="111"/>
      <c r="L242" s="111"/>
      <c r="M242" s="111"/>
      <c r="N242" s="111"/>
      <c r="O242" s="111"/>
      <c r="P242" s="17">
        <v>36</v>
      </c>
    </row>
    <row r="243" spans="1:16" s="53" customFormat="1" ht="43.5">
      <c r="A243" s="40">
        <v>128</v>
      </c>
      <c r="B243" s="40" t="s">
        <v>3</v>
      </c>
      <c r="C243" s="70" t="s">
        <v>272</v>
      </c>
      <c r="D243" s="117">
        <v>2</v>
      </c>
      <c r="E243" s="117"/>
      <c r="F243" s="117"/>
      <c r="G243" s="117"/>
      <c r="H243" s="111"/>
      <c r="I243" s="111"/>
      <c r="J243" s="111"/>
      <c r="K243" s="111"/>
      <c r="L243" s="111"/>
      <c r="M243" s="111"/>
      <c r="N243" s="111"/>
      <c r="O243" s="111"/>
      <c r="P243" s="17">
        <v>2</v>
      </c>
    </row>
    <row r="244" spans="1:16" s="53" customFormat="1" ht="58">
      <c r="A244" s="40">
        <v>129</v>
      </c>
      <c r="B244" s="40" t="s">
        <v>3</v>
      </c>
      <c r="C244" s="70" t="s">
        <v>273</v>
      </c>
      <c r="D244" s="117">
        <v>31</v>
      </c>
      <c r="E244" s="117">
        <v>39</v>
      </c>
      <c r="F244" s="117">
        <v>36</v>
      </c>
      <c r="G244" s="117">
        <v>36</v>
      </c>
      <c r="H244" s="111"/>
      <c r="I244" s="111"/>
      <c r="J244" s="111"/>
      <c r="K244" s="111"/>
      <c r="L244" s="111"/>
      <c r="M244" s="111"/>
      <c r="N244" s="111"/>
      <c r="O244" s="111"/>
      <c r="P244" s="17">
        <v>142</v>
      </c>
    </row>
    <row r="245" spans="1:16" s="53" customFormat="1" ht="43.5">
      <c r="A245" s="40">
        <v>130</v>
      </c>
      <c r="B245" s="40" t="s">
        <v>3</v>
      </c>
      <c r="C245" s="70" t="s">
        <v>274</v>
      </c>
      <c r="D245" s="117">
        <v>13</v>
      </c>
      <c r="E245" s="117">
        <v>10</v>
      </c>
      <c r="F245" s="117">
        <v>12</v>
      </c>
      <c r="G245" s="117">
        <v>12</v>
      </c>
      <c r="H245" s="111"/>
      <c r="I245" s="111"/>
      <c r="J245" s="111"/>
      <c r="K245" s="111"/>
      <c r="L245" s="111"/>
      <c r="M245" s="111"/>
      <c r="N245" s="111"/>
      <c r="O245" s="111"/>
      <c r="P245" s="17">
        <v>47</v>
      </c>
    </row>
    <row r="246" spans="1:16" s="53" customFormat="1" ht="43.5">
      <c r="A246" s="40">
        <v>131</v>
      </c>
      <c r="B246" s="40" t="s">
        <v>3</v>
      </c>
      <c r="C246" s="70" t="s">
        <v>275</v>
      </c>
      <c r="D246" s="117">
        <v>84</v>
      </c>
      <c r="E246" s="117">
        <v>148</v>
      </c>
      <c r="F246" s="117">
        <v>214</v>
      </c>
      <c r="G246" s="117">
        <v>164</v>
      </c>
      <c r="H246" s="111"/>
      <c r="I246" s="111"/>
      <c r="J246" s="111"/>
      <c r="K246" s="111"/>
      <c r="L246" s="111"/>
      <c r="M246" s="111"/>
      <c r="N246" s="111"/>
      <c r="O246" s="111"/>
      <c r="P246" s="17">
        <v>610</v>
      </c>
    </row>
    <row r="247" spans="1:16" s="53" customFormat="1" ht="43.5">
      <c r="A247" s="40">
        <v>132</v>
      </c>
      <c r="B247" s="40" t="s">
        <v>3</v>
      </c>
      <c r="C247" s="70" t="s">
        <v>276</v>
      </c>
      <c r="D247" s="117"/>
      <c r="E247" s="117">
        <v>1</v>
      </c>
      <c r="F247" s="117"/>
      <c r="G247" s="117"/>
      <c r="H247" s="111"/>
      <c r="I247" s="111"/>
      <c r="J247" s="111"/>
      <c r="K247" s="111"/>
      <c r="L247" s="111"/>
      <c r="M247" s="111"/>
      <c r="N247" s="111"/>
      <c r="O247" s="111"/>
      <c r="P247" s="17">
        <v>1</v>
      </c>
    </row>
    <row r="248" spans="1:16" s="53" customFormat="1" ht="43.5">
      <c r="A248" s="40">
        <v>133</v>
      </c>
      <c r="B248" s="40" t="s">
        <v>3</v>
      </c>
      <c r="C248" s="70" t="s">
        <v>277</v>
      </c>
      <c r="D248" s="117"/>
      <c r="E248" s="117"/>
      <c r="F248" s="117"/>
      <c r="G248" s="117">
        <v>1</v>
      </c>
      <c r="H248" s="111"/>
      <c r="I248" s="111"/>
      <c r="J248" s="111"/>
      <c r="K248" s="111"/>
      <c r="L248" s="111"/>
      <c r="M248" s="111"/>
      <c r="N248" s="111"/>
      <c r="O248" s="111"/>
      <c r="P248" s="17">
        <v>1</v>
      </c>
    </row>
    <row r="249" spans="1:16" s="53" customFormat="1" ht="43.5">
      <c r="A249" s="40">
        <v>134</v>
      </c>
      <c r="B249" s="40" t="s">
        <v>3</v>
      </c>
      <c r="C249" s="70" t="s">
        <v>278</v>
      </c>
      <c r="D249" s="117">
        <v>9</v>
      </c>
      <c r="E249" s="117">
        <v>10</v>
      </c>
      <c r="F249" s="117">
        <v>7</v>
      </c>
      <c r="G249" s="117">
        <v>7</v>
      </c>
      <c r="H249" s="111"/>
      <c r="I249" s="111"/>
      <c r="J249" s="111"/>
      <c r="K249" s="111"/>
      <c r="L249" s="111"/>
      <c r="M249" s="111"/>
      <c r="N249" s="111"/>
      <c r="O249" s="111"/>
      <c r="P249" s="17">
        <v>33</v>
      </c>
    </row>
    <row r="250" spans="1:16" s="53" customFormat="1" ht="29">
      <c r="A250" s="40">
        <v>135</v>
      </c>
      <c r="B250" s="40" t="s">
        <v>3</v>
      </c>
      <c r="C250" s="70" t="s">
        <v>279</v>
      </c>
      <c r="D250" s="117">
        <v>11</v>
      </c>
      <c r="E250" s="117">
        <v>13</v>
      </c>
      <c r="F250" s="117">
        <v>24</v>
      </c>
      <c r="G250" s="117">
        <v>24</v>
      </c>
      <c r="H250" s="111"/>
      <c r="I250" s="111"/>
      <c r="J250" s="111"/>
      <c r="K250" s="111"/>
      <c r="L250" s="111"/>
      <c r="M250" s="111"/>
      <c r="N250" s="111"/>
      <c r="O250" s="111"/>
      <c r="P250" s="17">
        <v>72</v>
      </c>
    </row>
    <row r="251" spans="1:16" s="53" customFormat="1" ht="29">
      <c r="A251" s="40">
        <v>136</v>
      </c>
      <c r="B251" s="40" t="s">
        <v>3</v>
      </c>
      <c r="C251" s="70" t="s">
        <v>280</v>
      </c>
      <c r="D251" s="117">
        <v>8</v>
      </c>
      <c r="E251" s="117">
        <v>5</v>
      </c>
      <c r="F251" s="117">
        <v>6</v>
      </c>
      <c r="G251" s="117">
        <v>21</v>
      </c>
      <c r="H251" s="111"/>
      <c r="I251" s="111"/>
      <c r="J251" s="111"/>
      <c r="K251" s="111"/>
      <c r="L251" s="111"/>
      <c r="M251" s="111"/>
      <c r="N251" s="111"/>
      <c r="O251" s="111"/>
      <c r="P251" s="17">
        <v>40</v>
      </c>
    </row>
    <row r="252" spans="1:16" s="53" customFormat="1" ht="43.5">
      <c r="A252" s="40">
        <v>137</v>
      </c>
      <c r="B252" s="40" t="s">
        <v>3</v>
      </c>
      <c r="C252" s="70" t="s">
        <v>147</v>
      </c>
      <c r="D252" s="117">
        <v>1</v>
      </c>
      <c r="E252" s="117"/>
      <c r="F252" s="117"/>
      <c r="G252" s="117"/>
      <c r="H252" s="111"/>
      <c r="I252" s="111"/>
      <c r="J252" s="111"/>
      <c r="K252" s="111"/>
      <c r="L252" s="111"/>
      <c r="M252" s="111"/>
      <c r="N252" s="111"/>
      <c r="O252" s="111"/>
      <c r="P252" s="17">
        <v>1</v>
      </c>
    </row>
    <row r="253" spans="1:16" s="53" customFormat="1" ht="87">
      <c r="A253" s="40">
        <v>138</v>
      </c>
      <c r="B253" s="40" t="s">
        <v>3</v>
      </c>
      <c r="C253" s="70" t="s">
        <v>1661</v>
      </c>
      <c r="D253" s="117">
        <v>2</v>
      </c>
      <c r="E253" s="117"/>
      <c r="F253" s="117"/>
      <c r="G253" s="117"/>
      <c r="H253" s="111"/>
      <c r="I253" s="111"/>
      <c r="J253" s="111"/>
      <c r="K253" s="111"/>
      <c r="L253" s="111"/>
      <c r="M253" s="111"/>
      <c r="N253" s="111"/>
      <c r="O253" s="111"/>
      <c r="P253" s="17">
        <v>2</v>
      </c>
    </row>
    <row r="254" spans="1:16" s="53" customFormat="1" ht="43.5">
      <c r="A254" s="40">
        <v>139</v>
      </c>
      <c r="B254" s="40" t="s">
        <v>3</v>
      </c>
      <c r="C254" s="70" t="s">
        <v>213</v>
      </c>
      <c r="D254" s="117">
        <v>2</v>
      </c>
      <c r="E254" s="117">
        <v>2</v>
      </c>
      <c r="F254" s="117">
        <v>1</v>
      </c>
      <c r="G254" s="117">
        <v>1</v>
      </c>
      <c r="H254" s="111"/>
      <c r="I254" s="111"/>
      <c r="J254" s="111"/>
      <c r="K254" s="111"/>
      <c r="L254" s="111"/>
      <c r="M254" s="111"/>
      <c r="N254" s="111"/>
      <c r="O254" s="111"/>
      <c r="P254" s="17">
        <v>6</v>
      </c>
    </row>
    <row r="255" spans="1:16" s="53" customFormat="1" ht="72.5">
      <c r="A255" s="40">
        <v>140</v>
      </c>
      <c r="B255" s="40" t="s">
        <v>3</v>
      </c>
      <c r="C255" s="70" t="s">
        <v>219</v>
      </c>
      <c r="D255" s="117">
        <v>2</v>
      </c>
      <c r="E255" s="117">
        <v>2</v>
      </c>
      <c r="F255" s="117">
        <v>1</v>
      </c>
      <c r="G255" s="117">
        <v>2</v>
      </c>
      <c r="H255" s="15"/>
      <c r="I255" s="15"/>
      <c r="J255" s="15"/>
      <c r="K255" s="15"/>
      <c r="L255" s="15"/>
      <c r="M255" s="15"/>
      <c r="N255" s="15"/>
      <c r="O255" s="15"/>
      <c r="P255" s="17">
        <v>7</v>
      </c>
    </row>
    <row r="256" spans="1:16" s="53" customFormat="1" ht="29">
      <c r="A256" s="40">
        <v>141</v>
      </c>
      <c r="B256" s="40" t="s">
        <v>3</v>
      </c>
      <c r="C256" s="70" t="s">
        <v>1662</v>
      </c>
      <c r="D256" s="117">
        <v>4</v>
      </c>
      <c r="E256" s="117">
        <v>4</v>
      </c>
      <c r="F256" s="117"/>
      <c r="G256" s="117"/>
      <c r="H256" s="15"/>
      <c r="I256" s="15"/>
      <c r="J256" s="15"/>
      <c r="K256" s="15"/>
      <c r="L256" s="15"/>
      <c r="M256" s="15"/>
      <c r="N256" s="15"/>
      <c r="O256" s="15"/>
      <c r="P256" s="17">
        <v>8</v>
      </c>
    </row>
    <row r="257" spans="1:16" s="53" customFormat="1" ht="29">
      <c r="A257" s="40">
        <v>142</v>
      </c>
      <c r="B257" s="40" t="s">
        <v>3</v>
      </c>
      <c r="C257" s="70" t="s">
        <v>247</v>
      </c>
      <c r="D257" s="117">
        <v>3</v>
      </c>
      <c r="E257" s="117">
        <v>7</v>
      </c>
      <c r="F257" s="117">
        <v>3</v>
      </c>
      <c r="G257" s="117">
        <v>6</v>
      </c>
      <c r="H257" s="15"/>
      <c r="I257" s="15"/>
      <c r="J257" s="15"/>
      <c r="K257" s="15"/>
      <c r="L257" s="15"/>
      <c r="M257" s="15"/>
      <c r="N257" s="15"/>
      <c r="O257" s="15"/>
      <c r="P257" s="17">
        <v>19</v>
      </c>
    </row>
    <row r="258" spans="1:16" s="53" customFormat="1" ht="58">
      <c r="A258" s="40">
        <v>143</v>
      </c>
      <c r="B258" s="40" t="s">
        <v>3</v>
      </c>
      <c r="C258" s="70" t="s">
        <v>168</v>
      </c>
      <c r="D258" s="117"/>
      <c r="E258" s="117">
        <v>1</v>
      </c>
      <c r="F258" s="117">
        <v>2</v>
      </c>
      <c r="G258" s="117">
        <v>1</v>
      </c>
      <c r="H258" s="111"/>
      <c r="I258" s="111"/>
      <c r="J258" s="111"/>
      <c r="K258" s="111"/>
      <c r="L258" s="111"/>
      <c r="M258" s="111"/>
      <c r="N258" s="111"/>
      <c r="O258" s="111"/>
      <c r="P258" s="17">
        <v>4</v>
      </c>
    </row>
    <row r="259" spans="1:16" s="53" customFormat="1" ht="72.5">
      <c r="A259" s="40">
        <v>144</v>
      </c>
      <c r="B259" s="40" t="s">
        <v>3</v>
      </c>
      <c r="C259" s="70" t="s">
        <v>179</v>
      </c>
      <c r="D259" s="117"/>
      <c r="E259" s="117">
        <v>1</v>
      </c>
      <c r="F259" s="117"/>
      <c r="G259" s="117"/>
      <c r="H259" s="111"/>
      <c r="I259" s="111"/>
      <c r="J259" s="111"/>
      <c r="K259" s="111"/>
      <c r="L259" s="111"/>
      <c r="M259" s="111"/>
      <c r="N259" s="111"/>
      <c r="O259" s="111"/>
      <c r="P259" s="17">
        <v>1</v>
      </c>
    </row>
    <row r="260" spans="1:16" s="53" customFormat="1" ht="43.5">
      <c r="A260" s="40">
        <v>145</v>
      </c>
      <c r="B260" s="40" t="s">
        <v>3</v>
      </c>
      <c r="C260" s="70" t="s">
        <v>226</v>
      </c>
      <c r="D260" s="117"/>
      <c r="E260" s="117">
        <v>1</v>
      </c>
      <c r="F260" s="117"/>
      <c r="G260" s="117"/>
      <c r="H260" s="111"/>
      <c r="I260" s="111"/>
      <c r="J260" s="111"/>
      <c r="K260" s="111"/>
      <c r="L260" s="111"/>
      <c r="M260" s="111"/>
      <c r="N260" s="111"/>
      <c r="O260" s="111"/>
      <c r="P260" s="17">
        <v>1</v>
      </c>
    </row>
    <row r="261" spans="1:16" s="53" customFormat="1" ht="58">
      <c r="A261" s="40">
        <v>146</v>
      </c>
      <c r="B261" s="40" t="s">
        <v>3</v>
      </c>
      <c r="C261" s="70" t="s">
        <v>145</v>
      </c>
      <c r="D261" s="117"/>
      <c r="E261" s="117"/>
      <c r="F261" s="117">
        <v>1</v>
      </c>
      <c r="G261" s="117"/>
      <c r="H261" s="111"/>
      <c r="I261" s="111"/>
      <c r="J261" s="111"/>
      <c r="K261" s="111"/>
      <c r="L261" s="111"/>
      <c r="M261" s="111"/>
      <c r="N261" s="111"/>
      <c r="O261" s="111"/>
      <c r="P261" s="17">
        <v>1</v>
      </c>
    </row>
    <row r="262" spans="1:16" s="53" customFormat="1" ht="72.5">
      <c r="A262" s="40">
        <v>147</v>
      </c>
      <c r="B262" s="40" t="s">
        <v>3</v>
      </c>
      <c r="C262" s="70" t="s">
        <v>245</v>
      </c>
      <c r="D262" s="117"/>
      <c r="E262" s="117"/>
      <c r="F262" s="117">
        <v>1</v>
      </c>
      <c r="G262" s="117">
        <v>1</v>
      </c>
      <c r="H262" s="111"/>
      <c r="I262" s="111"/>
      <c r="J262" s="111"/>
      <c r="K262" s="111"/>
      <c r="L262" s="111"/>
      <c r="M262" s="111"/>
      <c r="N262" s="111"/>
      <c r="O262" s="111"/>
      <c r="P262" s="17">
        <v>2</v>
      </c>
    </row>
    <row r="263" spans="1:16" s="53" customFormat="1" ht="72.5">
      <c r="A263" s="40">
        <v>148</v>
      </c>
      <c r="B263" s="40" t="s">
        <v>3</v>
      </c>
      <c r="C263" s="70" t="s">
        <v>259</v>
      </c>
      <c r="D263" s="117"/>
      <c r="E263" s="117"/>
      <c r="F263" s="117">
        <v>4</v>
      </c>
      <c r="G263" s="117">
        <v>2</v>
      </c>
      <c r="H263" s="111"/>
      <c r="I263" s="111"/>
      <c r="J263" s="111"/>
      <c r="K263" s="111"/>
      <c r="L263" s="111"/>
      <c r="M263" s="111"/>
      <c r="N263" s="111"/>
      <c r="O263" s="111"/>
      <c r="P263" s="17">
        <v>6</v>
      </c>
    </row>
    <row r="264" spans="1:16" s="53" customFormat="1" ht="43.5">
      <c r="A264" s="40">
        <v>149</v>
      </c>
      <c r="B264" s="40" t="s">
        <v>3</v>
      </c>
      <c r="C264" s="70" t="s">
        <v>1663</v>
      </c>
      <c r="D264" s="117"/>
      <c r="E264" s="117"/>
      <c r="F264" s="117"/>
      <c r="G264" s="117">
        <v>2</v>
      </c>
      <c r="H264" s="111"/>
      <c r="I264" s="111"/>
      <c r="J264" s="111"/>
      <c r="K264" s="111"/>
      <c r="L264" s="111"/>
      <c r="M264" s="111"/>
      <c r="N264" s="111"/>
      <c r="O264" s="111"/>
      <c r="P264" s="17">
        <v>2</v>
      </c>
    </row>
    <row r="265" spans="1:16" s="53" customFormat="1" ht="29">
      <c r="A265" s="40">
        <v>150</v>
      </c>
      <c r="B265" s="40" t="s">
        <v>3</v>
      </c>
      <c r="C265" s="70" t="s">
        <v>1664</v>
      </c>
      <c r="D265" s="117"/>
      <c r="E265" s="117"/>
      <c r="F265" s="117"/>
      <c r="G265" s="117">
        <v>1</v>
      </c>
      <c r="H265" s="111"/>
      <c r="I265" s="111"/>
      <c r="J265" s="111"/>
      <c r="K265" s="111"/>
      <c r="L265" s="111"/>
      <c r="M265" s="111"/>
      <c r="N265" s="111"/>
      <c r="O265" s="111"/>
      <c r="P265" s="17">
        <v>1</v>
      </c>
    </row>
    <row r="266" spans="1:16" s="53" customFormat="1" ht="43.5">
      <c r="A266" s="40">
        <v>151</v>
      </c>
      <c r="B266" s="40" t="s">
        <v>3</v>
      </c>
      <c r="C266" s="70" t="s">
        <v>143</v>
      </c>
      <c r="D266" s="117"/>
      <c r="E266" s="117"/>
      <c r="F266" s="117"/>
      <c r="G266" s="117">
        <v>1</v>
      </c>
      <c r="H266" s="111"/>
      <c r="I266" s="111"/>
      <c r="J266" s="111"/>
      <c r="K266" s="111"/>
      <c r="L266" s="111"/>
      <c r="M266" s="111"/>
      <c r="N266" s="111"/>
      <c r="O266" s="111"/>
      <c r="P266" s="17">
        <v>1</v>
      </c>
    </row>
    <row r="267" spans="1:16" s="53" customFormat="1" ht="43.5">
      <c r="A267" s="40">
        <v>152</v>
      </c>
      <c r="B267" s="40" t="s">
        <v>3</v>
      </c>
      <c r="C267" s="70" t="s">
        <v>171</v>
      </c>
      <c r="D267" s="117"/>
      <c r="E267" s="117"/>
      <c r="F267" s="117"/>
      <c r="G267" s="117">
        <v>33</v>
      </c>
      <c r="H267" s="111"/>
      <c r="I267" s="111"/>
      <c r="J267" s="111"/>
      <c r="K267" s="111"/>
      <c r="L267" s="111"/>
      <c r="M267" s="111"/>
      <c r="N267" s="111"/>
      <c r="O267" s="111"/>
      <c r="P267" s="17">
        <v>33</v>
      </c>
    </row>
    <row r="268" spans="1:16" s="53" customFormat="1" ht="29">
      <c r="A268" s="40">
        <v>153</v>
      </c>
      <c r="B268" s="40" t="s">
        <v>3</v>
      </c>
      <c r="C268" s="70" t="s">
        <v>231</v>
      </c>
      <c r="D268" s="117"/>
      <c r="E268" s="117"/>
      <c r="F268" s="117"/>
      <c r="G268" s="117">
        <v>1</v>
      </c>
      <c r="H268" s="111"/>
      <c r="I268" s="111"/>
      <c r="J268" s="111"/>
      <c r="K268" s="111"/>
      <c r="L268" s="111"/>
      <c r="M268" s="111"/>
      <c r="N268" s="111"/>
      <c r="O268" s="111"/>
      <c r="P268" s="17">
        <v>1</v>
      </c>
    </row>
    <row r="269" spans="1:16" s="53" customFormat="1" ht="16">
      <c r="A269" s="40">
        <v>154</v>
      </c>
      <c r="B269" s="40" t="s">
        <v>3</v>
      </c>
      <c r="C269" s="70" t="s">
        <v>1665</v>
      </c>
      <c r="D269" s="117"/>
      <c r="E269" s="117"/>
      <c r="F269" s="117"/>
      <c r="G269" s="117">
        <v>2</v>
      </c>
      <c r="H269" s="111"/>
      <c r="I269" s="111"/>
      <c r="J269" s="111"/>
      <c r="K269" s="111"/>
      <c r="L269" s="111"/>
      <c r="M269" s="111"/>
      <c r="N269" s="111"/>
      <c r="O269" s="111"/>
      <c r="P269" s="17">
        <v>2</v>
      </c>
    </row>
    <row r="270" spans="1:16" s="53" customFormat="1" ht="58">
      <c r="A270" s="40">
        <v>155</v>
      </c>
      <c r="B270" s="40" t="s">
        <v>3</v>
      </c>
      <c r="C270" s="70" t="s">
        <v>1666</v>
      </c>
      <c r="D270" s="117"/>
      <c r="E270" s="117"/>
      <c r="F270" s="117"/>
      <c r="G270" s="117">
        <v>1</v>
      </c>
      <c r="H270" s="15"/>
      <c r="I270" s="15"/>
      <c r="J270" s="15"/>
      <c r="K270" s="15"/>
      <c r="L270" s="15"/>
      <c r="M270" s="15"/>
      <c r="N270" s="15"/>
      <c r="O270" s="15"/>
      <c r="P270" s="17">
        <v>1</v>
      </c>
    </row>
    <row r="271" spans="1:16" s="53" customFormat="1"/>
    <row r="272" spans="1:16" s="53" customFormat="1"/>
    <row r="273" s="53" customFormat="1"/>
    <row r="274" s="53" customFormat="1"/>
    <row r="275" s="53" customFormat="1"/>
    <row r="276" s="53" customFormat="1"/>
    <row r="277" s="53" customFormat="1"/>
    <row r="278" s="53" customFormat="1"/>
    <row r="279" s="53" customFormat="1"/>
    <row r="280" s="53" customFormat="1"/>
    <row r="281" s="53" customFormat="1"/>
    <row r="282" s="53" customFormat="1"/>
    <row r="283" s="53" customFormat="1"/>
    <row r="284" s="53" customFormat="1"/>
    <row r="285" s="53" customFormat="1"/>
    <row r="286" s="53" customFormat="1"/>
    <row r="287" s="53" customFormat="1"/>
    <row r="288" s="53" customFormat="1"/>
    <row r="289" s="53" customFormat="1"/>
    <row r="290" s="53" customFormat="1"/>
    <row r="291" s="53" customFormat="1"/>
    <row r="292" s="53" customFormat="1"/>
    <row r="293" s="53" customFormat="1"/>
    <row r="294" s="53" customFormat="1"/>
    <row r="295" s="53" customFormat="1"/>
    <row r="296" s="53" customFormat="1"/>
    <row r="297" s="53" customFormat="1"/>
    <row r="298" s="53" customFormat="1"/>
    <row r="299" s="53" customFormat="1"/>
    <row r="300" s="53" customFormat="1"/>
    <row r="301" s="53" customFormat="1"/>
    <row r="302" s="53" customFormat="1"/>
    <row r="303" s="53" customFormat="1"/>
    <row r="304" s="53" customFormat="1"/>
    <row r="305" s="53" customFormat="1"/>
    <row r="306" s="53" customFormat="1"/>
    <row r="307" s="53" customFormat="1"/>
    <row r="308" s="53" customFormat="1"/>
    <row r="309" s="53" customFormat="1"/>
    <row r="310" s="53" customFormat="1"/>
    <row r="311" s="53" customFormat="1"/>
    <row r="312" s="53" customFormat="1"/>
    <row r="313" s="53" customFormat="1"/>
    <row r="314" s="53" customFormat="1"/>
    <row r="315" s="53" customFormat="1"/>
    <row r="316" s="53" customFormat="1"/>
    <row r="317" s="53" customFormat="1"/>
    <row r="318" s="53" customFormat="1"/>
    <row r="319" s="53" customFormat="1"/>
    <row r="320" s="53" customFormat="1"/>
    <row r="321" s="53" customFormat="1"/>
    <row r="322" s="53" customFormat="1"/>
    <row r="323" s="53" customFormat="1"/>
    <row r="324" s="53" customFormat="1"/>
    <row r="325" s="53" customFormat="1"/>
    <row r="326" s="53" customFormat="1"/>
    <row r="327" s="53" customFormat="1"/>
    <row r="328" s="53" customFormat="1"/>
    <row r="329" s="53" customFormat="1"/>
    <row r="330" s="53" customFormat="1"/>
    <row r="331" s="53" customFormat="1"/>
    <row r="332" s="53" customFormat="1"/>
    <row r="333" s="53" customFormat="1"/>
    <row r="334" s="53" customFormat="1"/>
    <row r="335" s="53" customFormat="1"/>
    <row r="336" s="53" customFormat="1"/>
    <row r="337" s="53" customFormat="1"/>
    <row r="338" s="53" customFormat="1"/>
    <row r="339" s="53" customFormat="1"/>
    <row r="340" s="53" customFormat="1"/>
    <row r="341" s="53" customFormat="1"/>
    <row r="342" s="53" customFormat="1"/>
    <row r="343" s="53" customFormat="1"/>
    <row r="344" s="53" customFormat="1"/>
    <row r="345" s="53" customFormat="1"/>
    <row r="346" s="53" customFormat="1"/>
    <row r="347" s="53" customFormat="1"/>
    <row r="348" s="53" customFormat="1"/>
    <row r="349" s="53" customFormat="1"/>
    <row r="350" s="53" customFormat="1"/>
    <row r="351" s="53" customFormat="1"/>
    <row r="352" s="53" customFormat="1"/>
    <row r="353" s="53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2026-09-04T01:16:07Z</dcterms:modified>
</cp:coreProperties>
</file>