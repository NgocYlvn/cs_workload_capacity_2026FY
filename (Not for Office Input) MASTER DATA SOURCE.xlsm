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E6BD655E-AA39-4AEA-99B7-D07761708C4F}" xr6:coauthVersionLast="47" xr6:coauthVersionMax="47" xr10:uidLastSave="{00000000-0000-0000-0000-000000000000}"/>
  <bookViews>
    <workbookView xWindow="-120" yWindow="-120" windowWidth="20730" windowHeight="11040" tabRatio="923" activeTab="4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I4" i="5" l="1"/>
  <c r="E14" i="21"/>
  <c r="E15" i="21"/>
  <c r="E16" i="21"/>
  <c r="E17" i="21"/>
  <c r="E13" i="21"/>
  <c r="D14" i="21"/>
  <c r="D15" i="21"/>
  <c r="D16" i="21"/>
  <c r="D17" i="21"/>
  <c r="D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V5" i="5"/>
  <c r="AD5" i="5" s="1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<sst xmlns="http://schemas.openxmlformats.org/spreadsheetml/2006/main" count="9097" uniqueCount="1907">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</sst>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2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5" fillId="4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8" sqref="J8:J12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19" t="s">
        <v>1898</v>
      </c>
      <c r="W1" s="319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  <c r="Q2" s="21"/>
      <c r="S2" s="284" t="s">
        <v>1890</v>
      </c>
      <c r="T2" s="284" t="s">
        <v>1891</v>
      </c>
      <c r="U2" s="284" t="s">
        <v>1900</v>
      </c>
      <c r="V2" s="36" t="s">
        <v>1890</v>
      </c>
      <c r="W2" s="36" t="s">
        <v>1891</v>
      </c>
      <c r="X2" s="284" t="s">
        <v>1901</v>
      </c>
      <c r="Y2" s="284" t="s">
        <v>1899</v>
      </c>
    </row>
    <row r="3" spans="1:25" s="36" customFormat="1" ht="20.4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1298</v>
      </c>
      <c r="Q3" s="281"/>
      <c r="U3" s="281"/>
      <c r="X3" s="285"/>
      <c r="Y3" s="285"/>
    </row>
    <row r="4" spans="1:25" s="36" customFormat="1" ht="20.4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1298</v>
      </c>
      <c r="Q4" s="281"/>
      <c r="U4" s="281"/>
      <c r="X4" s="285"/>
      <c r="Y4" s="285"/>
    </row>
    <row r="5" spans="1:25" s="36" customFormat="1" ht="20.4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1298</v>
      </c>
      <c r="Q5" s="281"/>
      <c r="U5" s="281"/>
      <c r="X5" s="285"/>
      <c r="Y5" s="285"/>
    </row>
    <row r="6" spans="1:25" s="36" customFormat="1" ht="20.4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1298</v>
      </c>
      <c r="Q6" s="281"/>
      <c r="U6" s="281"/>
      <c r="X6" s="285"/>
      <c r="Y6" s="285"/>
    </row>
    <row r="7" spans="1:25" s="36" customFormat="1" ht="20.4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1298</v>
      </c>
      <c r="Q7" s="281"/>
    </row>
    <row r="8" spans="1:25" s="36" customFormat="1" ht="20.4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8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  <c r="Q8" s="281"/>
    </row>
    <row r="9" spans="1:25" s="36" customFormat="1" ht="20.4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8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  <c r="Q9" s="281"/>
    </row>
    <row r="10" spans="1:25" s="36" customFormat="1" ht="20.4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8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  <c r="Q10" s="281"/>
    </row>
    <row r="11" spans="1:25" s="36" customFormat="1" ht="20.4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8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  <c r="Q11" s="281"/>
    </row>
    <row r="12" spans="1:25" s="36" customFormat="1" ht="20.4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8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  <c r="Q12" s="281"/>
    </row>
    <row r="13" spans="1:25" s="36" customFormat="1" ht="20.4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13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1310</v>
      </c>
      <c r="Q13" s="281"/>
    </row>
    <row r="14" spans="1:25" s="36" customFormat="1" ht="20.4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13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1301</v>
      </c>
      <c r="Q14" s="281"/>
    </row>
    <row r="15" spans="1:25" s="36" customFormat="1" ht="20.4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13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1298</v>
      </c>
      <c r="Q15" s="281"/>
    </row>
    <row r="16" spans="1:25" s="36" customFormat="1" ht="20.4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13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1298</v>
      </c>
      <c r="Q16" s="281"/>
    </row>
    <row r="17" spans="1:17" s="36" customFormat="1" ht="20.4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13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1299</v>
      </c>
      <c r="Q17" s="281"/>
    </row>
    <row r="18" spans="1:17" s="36" customFormat="1" ht="20.4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13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  <c r="Q18" s="281"/>
    </row>
    <row r="19" spans="1:17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13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  <c r="Q19" s="281"/>
    </row>
    <row r="20" spans="1:17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13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  <c r="Q20" s="281"/>
    </row>
    <row r="21" spans="1:17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13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  <c r="Q21" s="281"/>
    </row>
    <row r="22" spans="1:17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13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  <c r="Q22" s="281"/>
    </row>
  </sheetData>
  <mergeCells count="1">
    <mergeCell ref="V1:W1"/>
  </mergeCells>
  <phoneticPr fontId="3" type="noConversion"/>
  <conditionalFormatting sqref="O23:O657">
    <cfRule type="expression" dxfId="138" priority="417">
      <formula>$O23="Less Load"</formula>
    </cfRule>
    <cfRule type="expression" dxfId="137" priority="418">
      <formula>$O23="Balanced"</formula>
    </cfRule>
    <cfRule type="expression" dxfId="136" priority="419">
      <formula>$O23="High Load"</formula>
    </cfRule>
    <cfRule type="expression" dxfId="135" priority="420">
      <formula>$O23="Overload"</formula>
    </cfRule>
  </conditionalFormatting>
  <conditionalFormatting sqref="O3:O7">
    <cfRule type="expression" dxfId="134" priority="13">
      <formula>$O3="Less Load"</formula>
    </cfRule>
    <cfRule type="expression" dxfId="133" priority="14">
      <formula>$O3="Balanced"</formula>
    </cfRule>
    <cfRule type="expression" dxfId="132" priority="15">
      <formula>$O3="High Load"</formula>
    </cfRule>
    <cfRule type="expression" dxfId="131" priority="16">
      <formula>$O3="Overload"</formula>
    </cfRule>
  </conditionalFormatting>
  <conditionalFormatting sqref="O8:O12">
    <cfRule type="expression" dxfId="130" priority="9">
      <formula>$O8="Less Load"</formula>
    </cfRule>
    <cfRule type="expression" dxfId="129" priority="10">
      <formula>$O8="Balanced"</formula>
    </cfRule>
    <cfRule type="expression" dxfId="128" priority="11">
      <formula>$O8="High Load"</formula>
    </cfRule>
    <cfRule type="expression" dxfId="127" priority="12">
      <formula>$O8="Overload"</formula>
    </cfRule>
  </conditionalFormatting>
  <conditionalFormatting sqref="O13:O17">
    <cfRule type="expression" dxfId="126" priority="5">
      <formula>$O13="Less Load"</formula>
    </cfRule>
    <cfRule type="expression" dxfId="125" priority="6">
      <formula>$O13="Balanced"</formula>
    </cfRule>
    <cfRule type="expression" dxfId="124" priority="7">
      <formula>$O13="High Load"</formula>
    </cfRule>
    <cfRule type="expression" dxfId="123" priority="8">
      <formula>$O13="Overload"</formula>
    </cfRule>
  </conditionalFormatting>
  <conditionalFormatting sqref="O18:O22">
    <cfRule type="expression" dxfId="122" priority="1">
      <formula>$O18="Less Load"</formula>
    </cfRule>
    <cfRule type="expression" dxfId="121" priority="2">
      <formula>$O18="Balanced"</formula>
    </cfRule>
    <cfRule type="expression" dxfId="120" priority="3">
      <formula>$O18="High Load"</formula>
    </cfRule>
    <cfRule type="expression" dxfId="119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1761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  <c r="J2" s="36" t="s">
        <v>1890</v>
      </c>
      <c r="K2" s="36" t="s">
        <v>1891</v>
      </c>
    </row>
    <row r="3" spans="1:14" s="36" customFormat="1" ht="20.45" customHeight="1">
      <c r="A3" s="38" t="s">
        <v>2</v>
      </c>
      <c r="B3" s="38" t="s">
        <v>1202</v>
      </c>
      <c r="C3" s="27" t="s">
        <v>1220</v>
      </c>
      <c r="D3" s="41">
        <v>167.2</v>
      </c>
      <c r="E3" s="238">
        <v>160.06666666666666</v>
      </c>
      <c r="F3" s="42">
        <v>0.95733652312599682</v>
      </c>
      <c r="G3" s="40" t="s">
        <v>1299</v>
      </c>
      <c r="H3" s="20"/>
    </row>
    <row r="4" spans="1:14" s="36" customFormat="1" ht="20.45" customHeight="1">
      <c r="A4" s="38" t="s">
        <v>2</v>
      </c>
      <c r="B4" s="38" t="s">
        <v>1202</v>
      </c>
      <c r="C4" s="27" t="s">
        <v>1222</v>
      </c>
      <c r="D4" s="41">
        <v>167.2</v>
      </c>
      <c r="E4" s="238">
        <v>102.81666666666666</v>
      </c>
      <c r="F4" s="42">
        <v>0.61493221690590116</v>
      </c>
      <c r="G4" s="40" t="s">
        <v>1300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1202</v>
      </c>
      <c r="C5" s="27" t="s">
        <v>1218</v>
      </c>
      <c r="D5" s="41">
        <v>167.2</v>
      </c>
      <c r="E5" s="238">
        <v>295.53333333333336</v>
      </c>
      <c r="F5" s="42">
        <v>1.7675438596491231</v>
      </c>
      <c r="G5" s="40" t="s">
        <v>1298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1202</v>
      </c>
      <c r="C6" s="27" t="s">
        <v>1225</v>
      </c>
      <c r="D6" s="41">
        <v>167.2</v>
      </c>
      <c r="E6" s="238">
        <v>286.03333333333336</v>
      </c>
      <c r="F6" s="42">
        <v>1.7107256778309412</v>
      </c>
      <c r="G6" s="40" t="s">
        <v>1298</v>
      </c>
      <c r="L6" s="201"/>
      <c r="N6" s="202"/>
    </row>
    <row r="7" spans="1:14" s="36" customFormat="1" ht="20.45" customHeight="1">
      <c r="A7" s="38" t="s">
        <v>2</v>
      </c>
      <c r="B7" s="38" t="s">
        <v>1202</v>
      </c>
      <c r="C7" s="27" t="s">
        <v>1224</v>
      </c>
      <c r="D7" s="41">
        <v>167.2</v>
      </c>
      <c r="E7" s="238">
        <v>173.73333333333332</v>
      </c>
      <c r="F7" s="42">
        <v>1.0390749601275917</v>
      </c>
      <c r="G7" s="40" t="s">
        <v>1298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1202</v>
      </c>
      <c r="C8" s="27" t="s">
        <v>1223</v>
      </c>
      <c r="D8" s="41">
        <v>167.2</v>
      </c>
      <c r="E8" s="238">
        <v>112.98333333333333</v>
      </c>
      <c r="F8" s="42">
        <v>0.67573763955342903</v>
      </c>
      <c r="G8" s="40" t="s">
        <v>1300</v>
      </c>
    </row>
    <row r="9" spans="1:14" s="36" customFormat="1" ht="20.45" customHeight="1">
      <c r="A9" s="38" t="s">
        <v>2</v>
      </c>
      <c r="B9" s="38" t="s">
        <v>1202</v>
      </c>
      <c r="C9" s="27" t="s">
        <v>1221</v>
      </c>
      <c r="D9" s="41">
        <v>167.2</v>
      </c>
      <c r="E9" s="238">
        <v>132.15</v>
      </c>
      <c r="F9" s="42">
        <v>0.79037081339712922</v>
      </c>
      <c r="G9" s="40" t="s">
        <v>1300</v>
      </c>
    </row>
    <row r="10" spans="1:14" s="36" customFormat="1" ht="20.4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38">
        <v>153.51666666666668</v>
      </c>
      <c r="F10" s="42">
        <v>0.91816188197767157</v>
      </c>
      <c r="G10" s="40" t="s">
        <v>1301</v>
      </c>
    </row>
    <row r="11" spans="1:14" s="36" customFormat="1" ht="20.4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38">
        <v>277.96666666666664</v>
      </c>
      <c r="F11" s="42">
        <v>1.6624800637958532</v>
      </c>
      <c r="G11" s="40" t="s">
        <v>1298</v>
      </c>
    </row>
    <row r="12" spans="1:14" s="36" customFormat="1" ht="20.4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39">
        <v>152</v>
      </c>
      <c r="F12" s="42">
        <v>0.90909090909090917</v>
      </c>
      <c r="G12" s="40" t="s">
        <v>1301</v>
      </c>
    </row>
    <row r="13" spans="1:14" s="36" customFormat="1" ht="20.4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39">
        <v>101.41666666666667</v>
      </c>
      <c r="F13" s="42">
        <v>0.60655901116427435</v>
      </c>
      <c r="G13" s="40" t="s">
        <v>1300</v>
      </c>
    </row>
    <row r="14" spans="1:14" s="36" customFormat="1" ht="20.4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39">
        <v>275.26666666666665</v>
      </c>
      <c r="F14" s="42">
        <v>1.6463317384370015</v>
      </c>
      <c r="G14" s="40" t="s">
        <v>1298</v>
      </c>
    </row>
    <row r="15" spans="1:14" s="36" customFormat="1" ht="20.4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39">
        <v>177.2</v>
      </c>
      <c r="F15" s="42">
        <v>1.0598086124401913</v>
      </c>
      <c r="G15" s="40" t="s">
        <v>1298</v>
      </c>
    </row>
    <row r="16" spans="1:14" s="36" customFormat="1" ht="20.4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39">
        <v>190.71666666666667</v>
      </c>
      <c r="F16" s="42">
        <v>1.1406499202551834</v>
      </c>
      <c r="G16" s="40" t="s">
        <v>1298</v>
      </c>
    </row>
    <row r="17" spans="1:7" s="36" customFormat="1" ht="20.4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39">
        <v>113.4</v>
      </c>
      <c r="F17" s="42">
        <v>0.6782296650717704</v>
      </c>
      <c r="G17" s="40" t="s">
        <v>1300</v>
      </c>
    </row>
    <row r="18" spans="1:7" s="36" customFormat="1" ht="20.4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39">
        <v>139.26666666666668</v>
      </c>
      <c r="F18" s="42">
        <v>0.83293460925039886</v>
      </c>
      <c r="G18" s="40" t="s">
        <v>1300</v>
      </c>
    </row>
    <row r="19" spans="1:7" s="36" customFormat="1" ht="20.4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39">
        <v>151.16666666666666</v>
      </c>
      <c r="F19" s="42">
        <v>0.90410685805422653</v>
      </c>
      <c r="G19" s="40" t="s">
        <v>1301</v>
      </c>
    </row>
    <row r="20" spans="1:7" s="36" customFormat="1" ht="20.4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39">
        <v>257.01666666666665</v>
      </c>
      <c r="F20" s="42">
        <v>1.5371810207336523</v>
      </c>
      <c r="G20" s="40" t="s">
        <v>1298</v>
      </c>
    </row>
    <row r="21" spans="1:7" s="36" customFormat="1" ht="20.4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39">
        <v>158.33333333333334</v>
      </c>
      <c r="F21" s="42">
        <v>0.94696969696969713</v>
      </c>
      <c r="G21" s="40" t="s">
        <v>1301</v>
      </c>
    </row>
    <row r="22" spans="1:7" s="36" customFormat="1" ht="20.4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39">
        <v>118.23333333333333</v>
      </c>
      <c r="F22" s="42">
        <v>0.70713716108452951</v>
      </c>
      <c r="G22" s="40" t="s">
        <v>1300</v>
      </c>
    </row>
    <row r="23" spans="1:7" s="36" customFormat="1" ht="20.4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39">
        <v>331.2</v>
      </c>
      <c r="F23" s="42">
        <v>1.9808612440191389</v>
      </c>
      <c r="G23" s="40" t="s">
        <v>1298</v>
      </c>
    </row>
    <row r="24" spans="1:7" s="36" customFormat="1" ht="20.4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39">
        <v>206.76666666666668</v>
      </c>
      <c r="F24" s="42">
        <v>1.2366427432216907</v>
      </c>
      <c r="G24" s="40" t="s">
        <v>1298</v>
      </c>
    </row>
    <row r="25" spans="1:7" s="36" customFormat="1" ht="20.4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39">
        <v>163.56666666666666</v>
      </c>
      <c r="F25" s="42">
        <v>0.97826953748006384</v>
      </c>
      <c r="G25" s="40" t="s">
        <v>1299</v>
      </c>
    </row>
    <row r="26" spans="1:7" s="36" customFormat="1" ht="20.4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39">
        <v>115.01666666666667</v>
      </c>
      <c r="F26" s="42">
        <v>0.68789872408293462</v>
      </c>
      <c r="G26" s="40" t="s">
        <v>1300</v>
      </c>
    </row>
    <row r="27" spans="1:7" s="36" customFormat="1" ht="20.4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39">
        <v>160.05000000000001</v>
      </c>
      <c r="F27" s="42">
        <v>0.95723684210526327</v>
      </c>
      <c r="G27" s="40" t="s">
        <v>1299</v>
      </c>
    </row>
    <row r="28" spans="1:7" s="36" customFormat="1" ht="20.4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39">
        <v>155.41666666666666</v>
      </c>
      <c r="F28" s="42">
        <v>0.92952551834130781</v>
      </c>
      <c r="G28" s="40" t="s">
        <v>1301</v>
      </c>
    </row>
    <row r="29" spans="1:7" s="36" customFormat="1" ht="20.4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39">
        <v>338.13333333333333</v>
      </c>
      <c r="F29" s="42">
        <v>2.0223285486443383</v>
      </c>
      <c r="G29" s="40" t="s">
        <v>1298</v>
      </c>
    </row>
    <row r="30" spans="1:7" s="36" customFormat="1" ht="20.4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39">
        <v>159.35</v>
      </c>
      <c r="F30" s="42">
        <v>0.95305023923444976</v>
      </c>
      <c r="G30" s="40" t="s">
        <v>1299</v>
      </c>
    </row>
    <row r="31" spans="1:7" s="36" customFormat="1" ht="20.4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39">
        <v>98.25</v>
      </c>
      <c r="F31" s="42">
        <v>0.58761961722488043</v>
      </c>
      <c r="G31" s="40" t="s">
        <v>1300</v>
      </c>
    </row>
    <row r="32" spans="1:7" s="36" customFormat="1" ht="20.4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39">
        <v>375.31666666666666</v>
      </c>
      <c r="F32" s="42">
        <v>2.2447169059011167</v>
      </c>
      <c r="G32" s="40" t="s">
        <v>1298</v>
      </c>
    </row>
    <row r="33" spans="1:7" s="36" customFormat="1" ht="20.4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39">
        <v>214.26666666666668</v>
      </c>
      <c r="F33" s="42">
        <v>1.2814992025518344</v>
      </c>
      <c r="G33" s="40" t="s">
        <v>1298</v>
      </c>
    </row>
    <row r="34" spans="1:7" s="36" customFormat="1" ht="20.4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39">
        <v>188.71666666666667</v>
      </c>
      <c r="F34" s="42">
        <v>1.1286881977671452</v>
      </c>
      <c r="G34" s="40" t="s">
        <v>1298</v>
      </c>
    </row>
    <row r="35" spans="1:7" s="36" customFormat="1" ht="20.4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39">
        <v>107.21666666666667</v>
      </c>
      <c r="F35" s="42">
        <v>0.64124800637958534</v>
      </c>
      <c r="G35" s="40" t="s">
        <v>1300</v>
      </c>
    </row>
    <row r="36" spans="1:7" s="36" customFormat="1" ht="20.4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39">
        <v>183.85</v>
      </c>
      <c r="F36" s="42">
        <v>1.0995813397129186</v>
      </c>
      <c r="G36" s="40" t="s">
        <v>1298</v>
      </c>
    </row>
    <row r="37" spans="1:7" s="36" customFormat="1" ht="20.4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39">
        <v>162.19999999999999</v>
      </c>
      <c r="F37" s="42">
        <v>0.97009569377990434</v>
      </c>
      <c r="G37" s="40" t="s">
        <v>1299</v>
      </c>
    </row>
    <row r="38" spans="1:7" s="36" customFormat="1" ht="20.4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39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5" t="s">
        <v>1220</v>
      </c>
      <c r="D39" s="41">
        <v>167.2</v>
      </c>
      <c r="E39" s="238">
        <v>143.9</v>
      </c>
      <c r="F39" s="42">
        <v>0.86064593301435421</v>
      </c>
      <c r="G39" s="40" t="s">
        <v>1888</v>
      </c>
    </row>
    <row r="40" spans="1:7">
      <c r="A40" s="38" t="s">
        <v>2</v>
      </c>
      <c r="B40" s="38" t="s">
        <v>1762</v>
      </c>
      <c r="C40" s="95" t="s">
        <v>1222</v>
      </c>
      <c r="D40" s="41">
        <v>167.2</v>
      </c>
      <c r="E40" s="238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5" t="s">
        <v>1218</v>
      </c>
      <c r="D41" s="41">
        <v>167.2</v>
      </c>
      <c r="E41" s="238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5" t="s">
        <v>1225</v>
      </c>
      <c r="D42" s="41">
        <v>167.2</v>
      </c>
      <c r="E42" s="239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5" t="s">
        <v>1224</v>
      </c>
      <c r="D43" s="41">
        <v>167.2</v>
      </c>
      <c r="E43" s="239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5" t="s">
        <v>1223</v>
      </c>
      <c r="D44" s="41">
        <v>167.2</v>
      </c>
      <c r="E44" s="239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5" t="s">
        <v>1221</v>
      </c>
      <c r="D45" s="41">
        <v>167.2</v>
      </c>
      <c r="E45" s="238">
        <v>147.30000000000001</v>
      </c>
      <c r="F45" s="42">
        <v>0.88098086124401931</v>
      </c>
      <c r="G45" s="40" t="s">
        <v>1888</v>
      </c>
    </row>
    <row r="46" spans="1:7">
      <c r="A46" s="38" t="s">
        <v>2</v>
      </c>
      <c r="B46" s="38" t="s">
        <v>1762</v>
      </c>
      <c r="C46" s="95" t="s">
        <v>1226</v>
      </c>
      <c r="D46" s="41">
        <v>167.2</v>
      </c>
      <c r="E46" s="238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5" t="s">
        <v>1219</v>
      </c>
      <c r="D47" s="41">
        <v>167.2</v>
      </c>
      <c r="E47" s="238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2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2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2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2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2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2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2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2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2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2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2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2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2"/>
      <c r="I135" s="162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2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2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2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2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2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2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2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2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2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2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2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2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2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2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2"/>
    </row>
    <row r="151" spans="1:9">
      <c r="A151" s="37" t="s">
        <v>4</v>
      </c>
      <c r="B151" s="38" t="s">
        <v>1202</v>
      </c>
      <c r="C151" s="27" t="s">
        <v>1408</v>
      </c>
      <c r="D151" s="41">
        <v>83.6</v>
      </c>
      <c r="E151" s="119">
        <v>73.509459671223908</v>
      </c>
      <c r="F151" s="42">
        <v>0.87929975683282191</v>
      </c>
      <c r="G151" s="40" t="s">
        <v>1310</v>
      </c>
      <c r="H151" s="36"/>
      <c r="I151" s="162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19">
        <v>108.24862692758622</v>
      </c>
      <c r="F152" s="42">
        <v>0.64742001750948697</v>
      </c>
      <c r="G152" s="40" t="s">
        <v>1310</v>
      </c>
      <c r="H152" s="36"/>
      <c r="I152" s="162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19">
        <v>160.28678806457063</v>
      </c>
      <c r="F153" s="42">
        <v>0.9586530386637</v>
      </c>
      <c r="G153" s="40" t="s">
        <v>1299</v>
      </c>
      <c r="H153" s="36"/>
      <c r="I153" s="162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19">
        <v>125.65575829383107</v>
      </c>
      <c r="F154" s="42">
        <v>0.75152965486741075</v>
      </c>
      <c r="G154" s="40" t="s">
        <v>1310</v>
      </c>
      <c r="H154" s="36"/>
      <c r="I154" s="162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19">
        <v>186.83437694032281</v>
      </c>
      <c r="F155" s="42">
        <v>1.11743048409284</v>
      </c>
      <c r="G155" s="40" t="s">
        <v>1298</v>
      </c>
      <c r="H155" s="36"/>
      <c r="I155" s="162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19">
        <v>147.34813790978836</v>
      </c>
      <c r="F156" s="42">
        <v>0.8812687674030405</v>
      </c>
      <c r="G156" s="40" t="s">
        <v>1310</v>
      </c>
      <c r="H156" s="36"/>
      <c r="I156" s="162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19">
        <v>127.86356529196553</v>
      </c>
      <c r="F157" s="42">
        <v>0.76473424217682739</v>
      </c>
      <c r="G157" s="40" t="s">
        <v>1310</v>
      </c>
      <c r="H157" s="36"/>
      <c r="I157" s="162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19">
        <v>173.21822905364374</v>
      </c>
      <c r="F158" s="42">
        <v>1.035994192904568</v>
      </c>
      <c r="G158" s="40" t="s">
        <v>1298</v>
      </c>
      <c r="H158" s="36"/>
      <c r="I158" s="162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19">
        <v>144.0120964783213</v>
      </c>
      <c r="F159" s="42">
        <v>0.86131636649713705</v>
      </c>
      <c r="G159" s="40" t="s">
        <v>1310</v>
      </c>
      <c r="H159" s="36"/>
      <c r="I159" s="162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19">
        <v>151.74993433845023</v>
      </c>
      <c r="F160" s="42">
        <v>0.90759530106728614</v>
      </c>
      <c r="G160" s="40" t="s">
        <v>1301</v>
      </c>
      <c r="H160" s="36"/>
      <c r="I160" s="162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19">
        <v>151.14015907229879</v>
      </c>
      <c r="F161" s="42">
        <v>0.90394831981039947</v>
      </c>
      <c r="G161" s="40" t="s">
        <v>1301</v>
      </c>
      <c r="H161" s="36"/>
      <c r="I161" s="162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19">
        <v>140.0163987150305</v>
      </c>
      <c r="F162" s="42">
        <v>0.83741865260185711</v>
      </c>
      <c r="G162" s="40" t="s">
        <v>1310</v>
      </c>
      <c r="H162" s="36"/>
      <c r="I162" s="162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19">
        <v>111.36599033257137</v>
      </c>
      <c r="F163" s="42">
        <v>0.66606453548188627</v>
      </c>
      <c r="G163" s="40" t="s">
        <v>1310</v>
      </c>
      <c r="H163" s="36"/>
      <c r="I163" s="162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19">
        <v>115.70485675223867</v>
      </c>
      <c r="F164" s="42">
        <v>0.69201469349425049</v>
      </c>
      <c r="G164" s="40" t="s">
        <v>1310</v>
      </c>
      <c r="H164" s="36"/>
      <c r="I164" s="162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19">
        <v>133.13076198751548</v>
      </c>
      <c r="F165" s="42">
        <v>0.79623661475786778</v>
      </c>
      <c r="G165" s="40" t="s">
        <v>1310</v>
      </c>
      <c r="H165" s="36"/>
      <c r="I165" s="162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19">
        <v>158.07898106643603</v>
      </c>
      <c r="F166" s="42">
        <v>0.94544845135428257</v>
      </c>
      <c r="G166" s="40" t="s">
        <v>1301</v>
      </c>
      <c r="H166" s="36"/>
      <c r="I166" s="162"/>
    </row>
    <row r="167" spans="1:9">
      <c r="A167" s="72" t="s">
        <v>4</v>
      </c>
      <c r="B167" s="73" t="s">
        <v>1202</v>
      </c>
      <c r="C167" s="206" t="s">
        <v>1758</v>
      </c>
      <c r="D167" s="41">
        <v>167.2</v>
      </c>
      <c r="E167" s="274">
        <v>182.74333924559673</v>
      </c>
      <c r="F167" s="42">
        <v>1.0929625552966313</v>
      </c>
      <c r="G167" s="40" t="s">
        <v>1298</v>
      </c>
      <c r="H167" s="36"/>
      <c r="I167" s="162"/>
    </row>
    <row r="168" spans="1:9">
      <c r="A168" s="263" t="s">
        <v>4</v>
      </c>
      <c r="B168" s="264" t="s">
        <v>1202</v>
      </c>
      <c r="C168" s="265" t="s">
        <v>1551</v>
      </c>
      <c r="D168" s="266">
        <v>167.2</v>
      </c>
      <c r="E168" s="267">
        <v>154.19253985860851</v>
      </c>
      <c r="F168" s="42">
        <v>0.92220418575722796</v>
      </c>
      <c r="G168" s="40" t="s">
        <v>1301</v>
      </c>
      <c r="H168" s="277">
        <v>2545.1</v>
      </c>
      <c r="I168" s="162"/>
    </row>
    <row r="169" spans="1:9">
      <c r="A169" s="72" t="s">
        <v>4</v>
      </c>
      <c r="B169" s="73" t="s">
        <v>1203</v>
      </c>
      <c r="C169" s="206" t="s">
        <v>1408</v>
      </c>
      <c r="D169" s="41">
        <v>83.6</v>
      </c>
      <c r="E169" s="119">
        <v>134.98083333333335</v>
      </c>
      <c r="F169" s="42">
        <v>1.6146032695374803</v>
      </c>
      <c r="G169" s="40" t="s">
        <v>1298</v>
      </c>
      <c r="H169" s="36"/>
      <c r="I169" s="162"/>
    </row>
    <row r="170" spans="1:9">
      <c r="A170" s="37" t="s">
        <v>4</v>
      </c>
      <c r="B170" s="38" t="s">
        <v>1203</v>
      </c>
      <c r="C170" s="27" t="s">
        <v>1409</v>
      </c>
      <c r="D170" s="41">
        <v>167.2</v>
      </c>
      <c r="E170" s="119">
        <v>92.5</v>
      </c>
      <c r="F170" s="42">
        <v>0.5532296650717704</v>
      </c>
      <c r="G170" s="40" t="s">
        <v>1310</v>
      </c>
      <c r="H170" s="36"/>
      <c r="I170" s="162"/>
    </row>
    <row r="171" spans="1:9">
      <c r="A171" s="37" t="s">
        <v>4</v>
      </c>
      <c r="B171" s="38" t="s">
        <v>1203</v>
      </c>
      <c r="C171" s="27" t="s">
        <v>1410</v>
      </c>
      <c r="D171" s="41">
        <v>167.2</v>
      </c>
      <c r="E171" s="119">
        <v>195.94</v>
      </c>
      <c r="F171" s="42">
        <v>1.1718899521531101</v>
      </c>
      <c r="G171" s="40" t="s">
        <v>1298</v>
      </c>
      <c r="H171" s="278"/>
      <c r="I171" s="162"/>
    </row>
    <row r="172" spans="1:9">
      <c r="A172" s="37" t="s">
        <v>4</v>
      </c>
      <c r="B172" s="38" t="s">
        <v>1203</v>
      </c>
      <c r="C172" s="27" t="s">
        <v>1411</v>
      </c>
      <c r="D172" s="41">
        <v>167.2</v>
      </c>
      <c r="E172" s="119">
        <v>152.34</v>
      </c>
      <c r="F172" s="42">
        <v>0.91112440191387567</v>
      </c>
      <c r="G172" s="40" t="s">
        <v>1301</v>
      </c>
      <c r="H172" s="36"/>
      <c r="I172" s="162"/>
    </row>
    <row r="173" spans="1:9">
      <c r="A173" s="37" t="s">
        <v>4</v>
      </c>
      <c r="B173" s="38" t="s">
        <v>1203</v>
      </c>
      <c r="C173" s="27" t="s">
        <v>1412</v>
      </c>
      <c r="D173" s="41">
        <v>167.2</v>
      </c>
      <c r="E173" s="119">
        <v>161.30089188397284</v>
      </c>
      <c r="F173" s="42">
        <v>0.96471825289457447</v>
      </c>
      <c r="G173" s="40" t="s">
        <v>1299</v>
      </c>
      <c r="H173" s="36"/>
      <c r="I173" s="162"/>
    </row>
    <row r="174" spans="1:9">
      <c r="A174" s="37" t="s">
        <v>4</v>
      </c>
      <c r="B174" s="38" t="s">
        <v>1203</v>
      </c>
      <c r="C174" s="27" t="s">
        <v>1286</v>
      </c>
      <c r="D174" s="41">
        <v>167.2</v>
      </c>
      <c r="E174" s="119">
        <v>161.49068879014521</v>
      </c>
      <c r="F174" s="42">
        <v>0.96585340185493551</v>
      </c>
      <c r="G174" s="40" t="s">
        <v>1299</v>
      </c>
      <c r="H174" s="36"/>
      <c r="I174" s="162"/>
    </row>
    <row r="175" spans="1:9">
      <c r="A175" s="37" t="s">
        <v>4</v>
      </c>
      <c r="B175" s="38" t="s">
        <v>1203</v>
      </c>
      <c r="C175" s="27" t="s">
        <v>1413</v>
      </c>
      <c r="D175" s="41">
        <v>167.2</v>
      </c>
      <c r="E175" s="119">
        <v>161.3866817801775</v>
      </c>
      <c r="F175" s="42">
        <v>0.96523135035991336</v>
      </c>
      <c r="G175" s="40" t="s">
        <v>1299</v>
      </c>
      <c r="H175" s="36"/>
      <c r="I175" s="162"/>
    </row>
    <row r="176" spans="1:9">
      <c r="A176" s="37" t="s">
        <v>4</v>
      </c>
      <c r="B176" s="38" t="s">
        <v>1203</v>
      </c>
      <c r="C176" s="27" t="s">
        <v>1414</v>
      </c>
      <c r="D176" s="41">
        <v>167.2</v>
      </c>
      <c r="E176" s="119">
        <v>176.51086085022314</v>
      </c>
      <c r="F176" s="42">
        <v>1.0556869668075548</v>
      </c>
      <c r="G176" s="40" t="s">
        <v>1298</v>
      </c>
      <c r="H176" s="278"/>
      <c r="I176" s="162"/>
    </row>
    <row r="177" spans="1:10">
      <c r="A177" s="37" t="s">
        <v>4</v>
      </c>
      <c r="B177" s="38" t="s">
        <v>1203</v>
      </c>
      <c r="C177" s="27" t="s">
        <v>1422</v>
      </c>
      <c r="D177" s="41">
        <v>16.72</v>
      </c>
      <c r="E177" s="119">
        <v>40.664569671538857</v>
      </c>
      <c r="F177" s="42">
        <v>2.4320914875322286</v>
      </c>
      <c r="G177" s="40" t="s">
        <v>1298</v>
      </c>
      <c r="H177" s="36"/>
      <c r="I177" s="162"/>
      <c r="J177" s="162"/>
    </row>
    <row r="178" spans="1:10">
      <c r="A178" s="37" t="s">
        <v>4</v>
      </c>
      <c r="B178" s="38" t="s">
        <v>1203</v>
      </c>
      <c r="C178" s="27" t="s">
        <v>1415</v>
      </c>
      <c r="D178" s="41">
        <v>167.2</v>
      </c>
      <c r="E178" s="119">
        <v>196.81790891300869</v>
      </c>
      <c r="F178" s="42">
        <v>1.1771406035467027</v>
      </c>
      <c r="G178" s="40" t="s">
        <v>1298</v>
      </c>
      <c r="H178" s="36"/>
      <c r="I178" s="162"/>
    </row>
    <row r="179" spans="1:10">
      <c r="A179" s="37" t="s">
        <v>4</v>
      </c>
      <c r="B179" s="38" t="s">
        <v>1203</v>
      </c>
      <c r="C179" s="27" t="s">
        <v>1416</v>
      </c>
      <c r="D179" s="41">
        <v>83.6</v>
      </c>
      <c r="E179" s="119">
        <v>55.293176806163402</v>
      </c>
      <c r="F179" s="42">
        <v>0.66140163643736127</v>
      </c>
      <c r="G179" s="40" t="s">
        <v>1310</v>
      </c>
      <c r="H179" s="36"/>
      <c r="I179" s="162"/>
    </row>
    <row r="180" spans="1:10">
      <c r="A180" s="37" t="s">
        <v>4</v>
      </c>
      <c r="B180" s="38" t="s">
        <v>1203</v>
      </c>
      <c r="C180" s="27" t="s">
        <v>1417</v>
      </c>
      <c r="D180" s="41">
        <v>167.2</v>
      </c>
      <c r="E180" s="119">
        <v>135.9</v>
      </c>
      <c r="F180" s="42">
        <v>0.81279904306220108</v>
      </c>
      <c r="G180" s="40" t="s">
        <v>1310</v>
      </c>
      <c r="H180" s="36"/>
      <c r="I180" s="162"/>
    </row>
    <row r="181" spans="1:10">
      <c r="A181" s="37" t="s">
        <v>4</v>
      </c>
      <c r="B181" s="38" t="s">
        <v>1203</v>
      </c>
      <c r="C181" s="27" t="s">
        <v>1418</v>
      </c>
      <c r="D181" s="41">
        <v>167.2</v>
      </c>
      <c r="E181" s="119">
        <v>150.6</v>
      </c>
      <c r="F181" s="42">
        <v>0.90071770334928236</v>
      </c>
      <c r="G181" s="40" t="s">
        <v>1301</v>
      </c>
      <c r="H181" s="36"/>
      <c r="I181" s="162"/>
    </row>
    <row r="182" spans="1:10">
      <c r="A182" s="37" t="s">
        <v>4</v>
      </c>
      <c r="B182" s="38" t="s">
        <v>1203</v>
      </c>
      <c r="C182" s="27" t="s">
        <v>1419</v>
      </c>
      <c r="D182" s="41">
        <v>167.2</v>
      </c>
      <c r="E182" s="119">
        <v>155.47</v>
      </c>
      <c r="F182" s="42">
        <v>0.92984449760765553</v>
      </c>
      <c r="G182" s="40" t="s">
        <v>1301</v>
      </c>
      <c r="I182" s="162"/>
    </row>
    <row r="183" spans="1:10">
      <c r="A183" s="37" t="s">
        <v>4</v>
      </c>
      <c r="B183" s="38" t="s">
        <v>1203</v>
      </c>
      <c r="C183" s="27" t="s">
        <v>1420</v>
      </c>
      <c r="D183" s="41">
        <v>167.2</v>
      </c>
      <c r="E183" s="119">
        <v>152.14335003130611</v>
      </c>
      <c r="F183" s="42">
        <v>0.90994826573747678</v>
      </c>
      <c r="G183" s="40" t="s">
        <v>1301</v>
      </c>
      <c r="H183" s="36"/>
      <c r="I183" s="162"/>
    </row>
    <row r="184" spans="1:10">
      <c r="A184" s="37" t="s">
        <v>4</v>
      </c>
      <c r="B184" s="38" t="s">
        <v>1203</v>
      </c>
      <c r="C184" s="27" t="s">
        <v>1756</v>
      </c>
      <c r="D184" s="41">
        <v>83.6</v>
      </c>
      <c r="E184" s="119">
        <v>107.79182717852504</v>
      </c>
      <c r="F184" s="42">
        <v>1.2893759231880986</v>
      </c>
      <c r="G184" s="40" t="s">
        <v>1298</v>
      </c>
      <c r="H184" s="36"/>
      <c r="I184" s="162"/>
    </row>
    <row r="185" spans="1:10">
      <c r="A185" s="37" t="s">
        <v>4</v>
      </c>
      <c r="B185" s="38" t="s">
        <v>1203</v>
      </c>
      <c r="C185" s="27" t="s">
        <v>1757</v>
      </c>
      <c r="D185" s="41">
        <v>167.2</v>
      </c>
      <c r="E185" s="119">
        <v>143.49313361422477</v>
      </c>
      <c r="F185" s="42">
        <v>0.85821252161617689</v>
      </c>
      <c r="G185" s="40" t="s">
        <v>1310</v>
      </c>
      <c r="H185" s="36"/>
      <c r="I185" s="162"/>
    </row>
    <row r="186" spans="1:10">
      <c r="A186" s="37" t="s">
        <v>4</v>
      </c>
      <c r="B186" s="38" t="s">
        <v>1203</v>
      </c>
      <c r="C186" s="27" t="s">
        <v>1758</v>
      </c>
      <c r="D186" s="41">
        <v>167.2</v>
      </c>
      <c r="E186" s="119">
        <v>190.01191048071345</v>
      </c>
      <c r="F186" s="42">
        <v>1.1364348712961332</v>
      </c>
      <c r="G186" s="40" t="s">
        <v>1298</v>
      </c>
      <c r="H186" s="36"/>
      <c r="I186" s="162"/>
    </row>
    <row r="187" spans="1:10">
      <c r="A187" s="72" t="s">
        <v>4</v>
      </c>
      <c r="B187" s="73" t="s">
        <v>1203</v>
      </c>
      <c r="C187" s="206" t="s">
        <v>1759</v>
      </c>
      <c r="D187" s="41">
        <v>83.6</v>
      </c>
      <c r="E187" s="119">
        <v>26.996166666666667</v>
      </c>
      <c r="F187" s="42">
        <v>0.32292065390749602</v>
      </c>
      <c r="G187" s="40" t="s">
        <v>1310</v>
      </c>
      <c r="H187" s="275"/>
      <c r="I187" s="162"/>
    </row>
    <row r="188" spans="1:10">
      <c r="A188" s="263" t="s">
        <v>4</v>
      </c>
      <c r="B188" s="264" t="s">
        <v>1203</v>
      </c>
      <c r="C188" s="265" t="s">
        <v>1551</v>
      </c>
      <c r="D188" s="266">
        <v>117.03999999999998</v>
      </c>
      <c r="E188" s="267">
        <v>107.98466666666667</v>
      </c>
      <c r="F188" s="42">
        <v>0.92263043973570313</v>
      </c>
      <c r="G188" s="40" t="s">
        <v>1301</v>
      </c>
      <c r="H188" s="279">
        <v>2699.6166666666668</v>
      </c>
      <c r="I188" s="162"/>
    </row>
    <row r="189" spans="1:10">
      <c r="A189" s="37" t="s">
        <v>4</v>
      </c>
      <c r="B189" s="38" t="s">
        <v>1204</v>
      </c>
      <c r="C189" s="27" t="s">
        <v>1408</v>
      </c>
      <c r="D189" s="41">
        <v>83.6</v>
      </c>
      <c r="E189" s="119">
        <v>167.89428037627883</v>
      </c>
      <c r="F189" s="42">
        <v>2.0083047891899382</v>
      </c>
      <c r="G189" s="40" t="s">
        <v>1298</v>
      </c>
      <c r="I189" s="162"/>
    </row>
    <row r="190" spans="1:10">
      <c r="A190" s="37" t="s">
        <v>4</v>
      </c>
      <c r="B190" s="38" t="s">
        <v>1204</v>
      </c>
      <c r="C190" s="27" t="s">
        <v>1409</v>
      </c>
      <c r="D190" s="41">
        <v>83.6</v>
      </c>
      <c r="E190" s="119">
        <v>114.26866666666666</v>
      </c>
      <c r="F190" s="42">
        <v>1.3668500797448166</v>
      </c>
      <c r="G190" s="40" t="s">
        <v>1298</v>
      </c>
      <c r="I190" s="162"/>
    </row>
    <row r="191" spans="1:10">
      <c r="A191" s="37" t="s">
        <v>4</v>
      </c>
      <c r="B191" s="38" t="s">
        <v>1204</v>
      </c>
      <c r="C191" s="27" t="s">
        <v>1410</v>
      </c>
      <c r="D191" s="41">
        <v>167.2</v>
      </c>
      <c r="E191" s="119">
        <v>184.6</v>
      </c>
      <c r="F191" s="42">
        <v>1.1040669856459331</v>
      </c>
      <c r="G191" s="40" t="s">
        <v>1298</v>
      </c>
      <c r="I191" s="162"/>
    </row>
    <row r="192" spans="1:10">
      <c r="A192" s="37" t="s">
        <v>4</v>
      </c>
      <c r="B192" s="38" t="s">
        <v>1204</v>
      </c>
      <c r="C192" s="27" t="s">
        <v>1757</v>
      </c>
      <c r="D192" s="41">
        <v>167.2</v>
      </c>
      <c r="E192" s="119">
        <v>86.784146997553506</v>
      </c>
      <c r="F192" s="42">
        <v>0.51904394137292775</v>
      </c>
      <c r="G192" s="40" t="s">
        <v>1310</v>
      </c>
    </row>
    <row r="193" spans="1:8">
      <c r="A193" s="37" t="s">
        <v>4</v>
      </c>
      <c r="B193" s="38" t="s">
        <v>1204</v>
      </c>
      <c r="C193" s="27" t="s">
        <v>1411</v>
      </c>
      <c r="D193" s="41">
        <v>167.2</v>
      </c>
      <c r="E193" s="119">
        <v>181.15227935754726</v>
      </c>
      <c r="F193" s="42">
        <v>1.0834466468752828</v>
      </c>
      <c r="G193" s="40" t="s">
        <v>1298</v>
      </c>
    </row>
    <row r="194" spans="1:8">
      <c r="A194" s="37" t="s">
        <v>4</v>
      </c>
      <c r="B194" s="38" t="s">
        <v>1204</v>
      </c>
      <c r="C194" s="27" t="s">
        <v>1412</v>
      </c>
      <c r="D194" s="41">
        <v>167.2</v>
      </c>
      <c r="E194" s="119">
        <v>196.89479442806734</v>
      </c>
      <c r="F194" s="42">
        <v>1.1776004451439435</v>
      </c>
      <c r="G194" s="40" t="s">
        <v>1298</v>
      </c>
    </row>
    <row r="195" spans="1:8">
      <c r="A195" s="37" t="s">
        <v>4</v>
      </c>
      <c r="B195" s="38" t="s">
        <v>1204</v>
      </c>
      <c r="C195" s="27" t="s">
        <v>1286</v>
      </c>
      <c r="D195" s="41">
        <v>167.2</v>
      </c>
      <c r="E195" s="119">
        <v>176.90313571590477</v>
      </c>
      <c r="F195" s="42">
        <v>1.0580331083487129</v>
      </c>
      <c r="G195" s="40" t="s">
        <v>1298</v>
      </c>
    </row>
    <row r="196" spans="1:8">
      <c r="A196" s="37" t="s">
        <v>4</v>
      </c>
      <c r="B196" s="38" t="s">
        <v>1204</v>
      </c>
      <c r="C196" s="27" t="s">
        <v>1413</v>
      </c>
      <c r="D196" s="41">
        <v>167.2</v>
      </c>
      <c r="E196" s="119">
        <v>185.9380784744678</v>
      </c>
      <c r="F196" s="42">
        <v>1.1120698473353339</v>
      </c>
      <c r="G196" s="40" t="s">
        <v>1298</v>
      </c>
    </row>
    <row r="197" spans="1:8">
      <c r="A197" s="37" t="s">
        <v>4</v>
      </c>
      <c r="B197" s="38" t="s">
        <v>1204</v>
      </c>
      <c r="C197" s="27" t="s">
        <v>1414</v>
      </c>
      <c r="D197" s="41">
        <v>167.2</v>
      </c>
      <c r="E197" s="119">
        <v>180.56</v>
      </c>
      <c r="F197" s="42">
        <v>1.0799043062200957</v>
      </c>
      <c r="G197" s="40" t="s">
        <v>1298</v>
      </c>
    </row>
    <row r="198" spans="1:8">
      <c r="A198" s="37" t="s">
        <v>4</v>
      </c>
      <c r="B198" s="38" t="s">
        <v>1204</v>
      </c>
      <c r="C198" s="27" t="s">
        <v>1422</v>
      </c>
      <c r="D198" s="41">
        <v>167.2</v>
      </c>
      <c r="E198" s="119">
        <v>199.97016666666667</v>
      </c>
      <c r="F198" s="42">
        <v>1.1959938197767146</v>
      </c>
      <c r="G198" s="40" t="s">
        <v>1298</v>
      </c>
    </row>
    <row r="199" spans="1:8">
      <c r="A199" s="37" t="s">
        <v>4</v>
      </c>
      <c r="B199" s="38" t="s">
        <v>1204</v>
      </c>
      <c r="C199" s="27" t="s">
        <v>1415</v>
      </c>
      <c r="D199" s="41">
        <v>167.2</v>
      </c>
      <c r="E199" s="119">
        <v>210.5906893700656</v>
      </c>
      <c r="F199" s="42">
        <v>1.2595136924046986</v>
      </c>
      <c r="G199" s="40" t="s">
        <v>1298</v>
      </c>
    </row>
    <row r="200" spans="1:8">
      <c r="A200" s="37" t="s">
        <v>4</v>
      </c>
      <c r="B200" s="38" t="s">
        <v>1204</v>
      </c>
      <c r="C200" s="27" t="s">
        <v>1417</v>
      </c>
      <c r="D200" s="41">
        <v>167.2</v>
      </c>
      <c r="E200" s="119">
        <v>160.99</v>
      </c>
      <c r="F200" s="42">
        <v>0.96285885167464125</v>
      </c>
      <c r="G200" s="40" t="s">
        <v>1299</v>
      </c>
    </row>
    <row r="201" spans="1:8">
      <c r="A201" s="37" t="s">
        <v>4</v>
      </c>
      <c r="B201" s="38" t="s">
        <v>1204</v>
      </c>
      <c r="C201" s="27" t="s">
        <v>1418</v>
      </c>
      <c r="D201" s="41">
        <v>167.2</v>
      </c>
      <c r="E201" s="119">
        <v>176.34551713612331</v>
      </c>
      <c r="F201" s="42">
        <v>1.0546980689959529</v>
      </c>
      <c r="G201" s="40" t="s">
        <v>1298</v>
      </c>
    </row>
    <row r="202" spans="1:8">
      <c r="A202" s="37" t="s">
        <v>4</v>
      </c>
      <c r="B202" s="38" t="s">
        <v>1204</v>
      </c>
      <c r="C202" s="27" t="s">
        <v>1419</v>
      </c>
      <c r="D202" s="41">
        <v>167.2</v>
      </c>
      <c r="E202" s="119">
        <v>165.3</v>
      </c>
      <c r="F202" s="42">
        <v>0.98863636363636376</v>
      </c>
      <c r="G202" s="40" t="s">
        <v>1299</v>
      </c>
    </row>
    <row r="203" spans="1:8">
      <c r="A203" s="37" t="s">
        <v>4</v>
      </c>
      <c r="B203" s="38" t="s">
        <v>1204</v>
      </c>
      <c r="C203" s="27" t="s">
        <v>1420</v>
      </c>
      <c r="D203" s="41">
        <v>167.2</v>
      </c>
      <c r="E203" s="119">
        <v>238.86111801687613</v>
      </c>
      <c r="F203" s="42">
        <v>1.4285952034502163</v>
      </c>
      <c r="G203" s="40" t="s">
        <v>1298</v>
      </c>
    </row>
    <row r="204" spans="1:8">
      <c r="A204" s="37" t="s">
        <v>4</v>
      </c>
      <c r="B204" s="38" t="s">
        <v>1204</v>
      </c>
      <c r="C204" s="27" t="s">
        <v>1758</v>
      </c>
      <c r="D204" s="41">
        <v>167.2</v>
      </c>
      <c r="E204" s="119">
        <v>140.20900702923899</v>
      </c>
      <c r="F204" s="42">
        <v>0.83857061620358253</v>
      </c>
      <c r="G204" s="40" t="s">
        <v>1310</v>
      </c>
    </row>
    <row r="205" spans="1:8">
      <c r="A205" s="263" t="s">
        <v>4</v>
      </c>
      <c r="B205" s="264" t="s">
        <v>1204</v>
      </c>
      <c r="C205" s="265" t="s">
        <v>1759</v>
      </c>
      <c r="D205" s="41">
        <v>167.2</v>
      </c>
      <c r="E205" s="267">
        <v>89.458036534915493</v>
      </c>
      <c r="F205" s="42">
        <v>0.53503610367772425</v>
      </c>
      <c r="G205" s="40" t="s">
        <v>1310</v>
      </c>
      <c r="H205" s="280">
        <v>2856.7199167703725</v>
      </c>
    </row>
    <row r="206" spans="1:8">
      <c r="A206" s="37" t="s">
        <v>4</v>
      </c>
      <c r="B206" s="38" t="s">
        <v>1205</v>
      </c>
      <c r="C206" s="27" t="s">
        <v>1408</v>
      </c>
      <c r="D206" s="41">
        <v>83.6</v>
      </c>
      <c r="E206" s="119">
        <v>128.90448252649176</v>
      </c>
      <c r="F206" s="42">
        <v>1.5419196474460739</v>
      </c>
      <c r="G206" s="40" t="s">
        <v>1298</v>
      </c>
    </row>
    <row r="207" spans="1:8">
      <c r="A207" s="37" t="s">
        <v>4</v>
      </c>
      <c r="B207" s="38" t="s">
        <v>1205</v>
      </c>
      <c r="C207" s="27" t="s">
        <v>1410</v>
      </c>
      <c r="D207" s="41">
        <v>167.2</v>
      </c>
      <c r="E207" s="119">
        <v>191.68586402143475</v>
      </c>
      <c r="F207" s="42">
        <v>1.1464465551521219</v>
      </c>
      <c r="G207" s="40" t="s">
        <v>1298</v>
      </c>
    </row>
    <row r="208" spans="1:8">
      <c r="A208" s="37" t="s">
        <v>4</v>
      </c>
      <c r="B208" s="38" t="s">
        <v>1205</v>
      </c>
      <c r="C208" s="27" t="s">
        <v>1421</v>
      </c>
      <c r="D208" s="41">
        <v>167.2</v>
      </c>
      <c r="E208" s="119">
        <v>233.97241524850924</v>
      </c>
      <c r="F208" s="42">
        <v>1.3993565505293615</v>
      </c>
      <c r="G208" s="40" t="s">
        <v>1298</v>
      </c>
    </row>
    <row r="209" spans="1:8">
      <c r="A209" s="37" t="s">
        <v>4</v>
      </c>
      <c r="B209" s="38" t="s">
        <v>1205</v>
      </c>
      <c r="C209" s="27" t="s">
        <v>1411</v>
      </c>
      <c r="D209" s="41">
        <v>167.2</v>
      </c>
      <c r="E209" s="119">
        <v>160.23067014361101</v>
      </c>
      <c r="F209" s="42">
        <v>0.95831740516513764</v>
      </c>
      <c r="G209" s="40" t="s">
        <v>1299</v>
      </c>
    </row>
    <row r="210" spans="1:8">
      <c r="A210" s="37" t="s">
        <v>4</v>
      </c>
      <c r="B210" s="38" t="s">
        <v>1205</v>
      </c>
      <c r="C210" s="27" t="s">
        <v>1412</v>
      </c>
      <c r="D210" s="41">
        <v>167.2</v>
      </c>
      <c r="E210" s="119">
        <v>226.32656714286128</v>
      </c>
      <c r="F210" s="42">
        <v>1.3536277939166346</v>
      </c>
      <c r="G210" s="40" t="s">
        <v>1298</v>
      </c>
    </row>
    <row r="211" spans="1:8">
      <c r="A211" s="37" t="s">
        <v>4</v>
      </c>
      <c r="B211" s="38" t="s">
        <v>1205</v>
      </c>
      <c r="C211" s="27" t="s">
        <v>1286</v>
      </c>
      <c r="D211" s="41">
        <v>167.2</v>
      </c>
      <c r="E211" s="119">
        <v>218.22278542858848</v>
      </c>
      <c r="F211" s="42">
        <v>1.3051601999317495</v>
      </c>
      <c r="G211" s="40" t="s">
        <v>1298</v>
      </c>
    </row>
    <row r="212" spans="1:8">
      <c r="A212" s="37" t="s">
        <v>4</v>
      </c>
      <c r="B212" s="38" t="s">
        <v>1205</v>
      </c>
      <c r="C212" s="27" t="s">
        <v>1413</v>
      </c>
      <c r="D212" s="41">
        <v>167.2</v>
      </c>
      <c r="E212" s="119">
        <v>219.5491841469337</v>
      </c>
      <c r="F212" s="42">
        <v>1.3130932066204168</v>
      </c>
      <c r="G212" s="40" t="s">
        <v>1298</v>
      </c>
    </row>
    <row r="213" spans="1:8">
      <c r="A213" s="37" t="s">
        <v>4</v>
      </c>
      <c r="B213" s="38" t="s">
        <v>1205</v>
      </c>
      <c r="C213" s="27" t="s">
        <v>1414</v>
      </c>
      <c r="D213" s="41">
        <v>167.2</v>
      </c>
      <c r="E213" s="119">
        <v>196.32043087541513</v>
      </c>
      <c r="F213" s="42">
        <v>1.1741652564319087</v>
      </c>
      <c r="G213" s="40" t="s">
        <v>1298</v>
      </c>
    </row>
    <row r="214" spans="1:8">
      <c r="A214" s="37" t="s">
        <v>4</v>
      </c>
      <c r="B214" s="38" t="s">
        <v>1205</v>
      </c>
      <c r="C214" s="27" t="s">
        <v>1422</v>
      </c>
      <c r="D214" s="41">
        <v>167.2</v>
      </c>
      <c r="E214" s="119">
        <v>138.44277302890026</v>
      </c>
      <c r="F214" s="42">
        <v>0.82800701572308777</v>
      </c>
      <c r="G214" s="40" t="s">
        <v>1310</v>
      </c>
    </row>
    <row r="215" spans="1:8">
      <c r="A215" s="37" t="s">
        <v>4</v>
      </c>
      <c r="B215" s="38" t="s">
        <v>1205</v>
      </c>
      <c r="C215" s="27" t="s">
        <v>1415</v>
      </c>
      <c r="D215" s="41">
        <v>167.2</v>
      </c>
      <c r="E215" s="119">
        <v>202.96360826746255</v>
      </c>
      <c r="F215" s="42">
        <v>1.2138971786331494</v>
      </c>
      <c r="G215" s="40" t="s">
        <v>1298</v>
      </c>
    </row>
    <row r="216" spans="1:8">
      <c r="A216" s="37" t="s">
        <v>4</v>
      </c>
      <c r="B216" s="38" t="s">
        <v>1205</v>
      </c>
      <c r="C216" s="27" t="s">
        <v>1417</v>
      </c>
      <c r="D216" s="41">
        <v>167.2</v>
      </c>
      <c r="E216" s="119">
        <v>182.3</v>
      </c>
      <c r="F216" s="42">
        <v>1.0903110047846891</v>
      </c>
      <c r="G216" s="40" t="s">
        <v>1298</v>
      </c>
    </row>
    <row r="217" spans="1:8">
      <c r="A217" s="37" t="s">
        <v>4</v>
      </c>
      <c r="B217" s="38" t="s">
        <v>1205</v>
      </c>
      <c r="C217" s="27" t="s">
        <v>1418</v>
      </c>
      <c r="D217" s="41">
        <v>167.2</v>
      </c>
      <c r="E217" s="119">
        <v>166.23</v>
      </c>
      <c r="F217" s="42">
        <v>0.99419856459330147</v>
      </c>
      <c r="G217" s="40" t="s">
        <v>1299</v>
      </c>
    </row>
    <row r="218" spans="1:8">
      <c r="A218" s="37" t="s">
        <v>4</v>
      </c>
      <c r="B218" s="38" t="s">
        <v>1205</v>
      </c>
      <c r="C218" s="27" t="s">
        <v>1419</v>
      </c>
      <c r="D218" s="41">
        <v>167.2</v>
      </c>
      <c r="E218" s="119">
        <v>165.44755008291278</v>
      </c>
      <c r="F218" s="42">
        <v>0.98951884020880854</v>
      </c>
      <c r="G218" s="40" t="s">
        <v>1299</v>
      </c>
    </row>
    <row r="219" spans="1:8">
      <c r="A219" s="37" t="s">
        <v>4</v>
      </c>
      <c r="B219" s="38" t="s">
        <v>1205</v>
      </c>
      <c r="C219" s="27" t="s">
        <v>1420</v>
      </c>
      <c r="D219" s="41">
        <v>167.2</v>
      </c>
      <c r="E219" s="119">
        <v>299.89919756976701</v>
      </c>
      <c r="F219" s="42">
        <v>1.7936554878574584</v>
      </c>
      <c r="G219" s="40" t="s">
        <v>1298</v>
      </c>
    </row>
    <row r="220" spans="1:8">
      <c r="A220" s="37" t="s">
        <v>4</v>
      </c>
      <c r="B220" s="38" t="s">
        <v>1205</v>
      </c>
      <c r="C220" s="27" t="s">
        <v>1423</v>
      </c>
      <c r="D220" s="41">
        <v>83.6</v>
      </c>
      <c r="E220" s="119">
        <v>109.11</v>
      </c>
      <c r="F220" s="42">
        <v>1.3051435406698566</v>
      </c>
      <c r="G220" s="40" t="s">
        <v>1298</v>
      </c>
    </row>
    <row r="221" spans="1:8">
      <c r="A221" s="37" t="s">
        <v>4</v>
      </c>
      <c r="B221" s="38" t="s">
        <v>1205</v>
      </c>
      <c r="C221" s="27" t="s">
        <v>1736</v>
      </c>
      <c r="D221" s="41">
        <v>167.2</v>
      </c>
      <c r="E221" s="119">
        <v>24.447787506759585</v>
      </c>
      <c r="F221" s="42">
        <v>0.14621882480119369</v>
      </c>
      <c r="G221" s="40" t="s">
        <v>1310</v>
      </c>
    </row>
    <row r="222" spans="1:8">
      <c r="A222" s="263" t="s">
        <v>4</v>
      </c>
      <c r="B222" s="264" t="s">
        <v>1760</v>
      </c>
      <c r="C222" s="265" t="s">
        <v>1758</v>
      </c>
      <c r="D222" s="41">
        <v>83.6</v>
      </c>
      <c r="E222" s="267">
        <v>51.75862789628696</v>
      </c>
      <c r="F222" s="42">
        <v>0.61912234325702109</v>
      </c>
      <c r="G222" s="40" t="s">
        <v>1310</v>
      </c>
      <c r="H222" s="279">
        <v>2915.8166666666666</v>
      </c>
    </row>
    <row r="223" spans="1:8">
      <c r="A223" s="37" t="s">
        <v>4</v>
      </c>
      <c r="B223" s="38" t="s">
        <v>1762</v>
      </c>
      <c r="C223" s="27" t="s">
        <v>1408</v>
      </c>
      <c r="D223" s="41">
        <v>83.6</v>
      </c>
      <c r="E223" s="119">
        <v>136.21960664828674</v>
      </c>
      <c r="F223" s="42">
        <v>1.6294211321565402</v>
      </c>
      <c r="G223" s="40" t="s">
        <v>1298</v>
      </c>
    </row>
    <row r="224" spans="1:8">
      <c r="A224" s="37" t="s">
        <v>4</v>
      </c>
      <c r="B224" s="38" t="s">
        <v>1762</v>
      </c>
      <c r="C224" s="27" t="s">
        <v>1410</v>
      </c>
      <c r="D224" s="41">
        <v>167.2</v>
      </c>
      <c r="E224" s="119">
        <v>174.06469142976428</v>
      </c>
      <c r="F224" s="42">
        <v>1.0410567669244275</v>
      </c>
      <c r="G224" s="40" t="s">
        <v>1298</v>
      </c>
    </row>
    <row r="225" spans="1:8">
      <c r="A225" s="37" t="s">
        <v>4</v>
      </c>
      <c r="B225" s="38" t="s">
        <v>1762</v>
      </c>
      <c r="C225" s="27" t="s">
        <v>1421</v>
      </c>
      <c r="D225" s="41">
        <v>167.2</v>
      </c>
      <c r="E225" s="119">
        <v>167.99</v>
      </c>
      <c r="F225" s="42">
        <v>1.0047248803827753</v>
      </c>
      <c r="G225" s="40" t="s">
        <v>1298</v>
      </c>
    </row>
    <row r="226" spans="1:8">
      <c r="A226" s="37" t="s">
        <v>4</v>
      </c>
      <c r="B226" s="38" t="s">
        <v>1762</v>
      </c>
      <c r="C226" s="27" t="s">
        <v>1411</v>
      </c>
      <c r="D226" s="41">
        <v>167.2</v>
      </c>
      <c r="E226" s="119">
        <v>167.56</v>
      </c>
      <c r="F226" s="42">
        <v>1.0021531100478469</v>
      </c>
      <c r="G226" s="40" t="s">
        <v>1298</v>
      </c>
      <c r="H226" s="162"/>
    </row>
    <row r="227" spans="1:8">
      <c r="A227" s="37" t="s">
        <v>4</v>
      </c>
      <c r="B227" s="38" t="s">
        <v>1762</v>
      </c>
      <c r="C227" s="27" t="s">
        <v>1412</v>
      </c>
      <c r="D227" s="41">
        <v>167.2</v>
      </c>
      <c r="E227" s="119">
        <v>200.15</v>
      </c>
      <c r="F227" s="42">
        <v>1.1970693779904307</v>
      </c>
      <c r="G227" s="40" t="s">
        <v>1298</v>
      </c>
    </row>
    <row r="228" spans="1:8">
      <c r="A228" s="37" t="s">
        <v>4</v>
      </c>
      <c r="B228" s="38" t="s">
        <v>1762</v>
      </c>
      <c r="C228" s="27" t="s">
        <v>1286</v>
      </c>
      <c r="D228" s="41">
        <v>167.2</v>
      </c>
      <c r="E228" s="119">
        <v>172.43803060595056</v>
      </c>
      <c r="F228" s="42">
        <v>1.0313279342461159</v>
      </c>
      <c r="G228" s="40" t="s">
        <v>1298</v>
      </c>
    </row>
    <row r="229" spans="1:8">
      <c r="A229" s="37" t="s">
        <v>4</v>
      </c>
      <c r="B229" s="38" t="s">
        <v>1762</v>
      </c>
      <c r="C229" s="27" t="s">
        <v>1413</v>
      </c>
      <c r="D229" s="41">
        <v>167.2</v>
      </c>
      <c r="E229" s="119">
        <v>225.84210038921444</v>
      </c>
      <c r="F229" s="42">
        <v>1.3507302654857323</v>
      </c>
      <c r="G229" s="40" t="s">
        <v>1298</v>
      </c>
    </row>
    <row r="230" spans="1:8">
      <c r="A230" s="37" t="s">
        <v>4</v>
      </c>
      <c r="B230" s="38" t="s">
        <v>1762</v>
      </c>
      <c r="C230" s="27" t="s">
        <v>1414</v>
      </c>
      <c r="D230" s="41">
        <v>167.2</v>
      </c>
      <c r="E230" s="119">
        <v>205.73615667553207</v>
      </c>
      <c r="F230" s="42">
        <v>1.2304794059541393</v>
      </c>
      <c r="G230" s="40" t="s">
        <v>1298</v>
      </c>
    </row>
    <row r="231" spans="1:8">
      <c r="A231" s="37" t="s">
        <v>4</v>
      </c>
      <c r="B231" s="38" t="s">
        <v>1762</v>
      </c>
      <c r="C231" s="27" t="s">
        <v>1422</v>
      </c>
      <c r="D231" s="41">
        <v>167.2</v>
      </c>
      <c r="E231" s="119">
        <v>168.91</v>
      </c>
      <c r="F231" s="42">
        <v>1.0102272727272728</v>
      </c>
      <c r="G231" s="40" t="s">
        <v>1298</v>
      </c>
    </row>
    <row r="232" spans="1:8">
      <c r="A232" s="37" t="s">
        <v>4</v>
      </c>
      <c r="B232" s="38" t="s">
        <v>1762</v>
      </c>
      <c r="C232" s="27" t="s">
        <v>1415</v>
      </c>
      <c r="D232" s="41">
        <v>167.2</v>
      </c>
      <c r="E232" s="119">
        <v>167.7</v>
      </c>
      <c r="F232" s="42">
        <v>1.0029904306220097</v>
      </c>
      <c r="G232" s="40" t="s">
        <v>1298</v>
      </c>
    </row>
    <row r="233" spans="1:8">
      <c r="A233" s="37" t="s">
        <v>4</v>
      </c>
      <c r="B233" s="38" t="s">
        <v>1762</v>
      </c>
      <c r="C233" s="27" t="s">
        <v>1417</v>
      </c>
      <c r="D233" s="41">
        <v>167.2</v>
      </c>
      <c r="E233" s="119">
        <v>150.5</v>
      </c>
      <c r="F233" s="42">
        <v>0.90011961722488043</v>
      </c>
      <c r="G233" s="40" t="s">
        <v>1301</v>
      </c>
    </row>
    <row r="234" spans="1:8">
      <c r="A234" s="37" t="s">
        <v>4</v>
      </c>
      <c r="B234" s="38" t="s">
        <v>1762</v>
      </c>
      <c r="C234" s="27" t="s">
        <v>1418</v>
      </c>
      <c r="D234" s="41">
        <v>167.2</v>
      </c>
      <c r="E234" s="119">
        <v>150.77000000000001</v>
      </c>
      <c r="F234" s="42">
        <v>0.90173444976076567</v>
      </c>
      <c r="G234" s="40" t="s">
        <v>1301</v>
      </c>
    </row>
    <row r="235" spans="1:8">
      <c r="A235" s="37" t="s">
        <v>4</v>
      </c>
      <c r="B235" s="38" t="s">
        <v>1762</v>
      </c>
      <c r="C235" s="27" t="s">
        <v>1419</v>
      </c>
      <c r="D235" s="41">
        <v>167.2</v>
      </c>
      <c r="E235" s="119">
        <v>167.5</v>
      </c>
      <c r="F235" s="42">
        <v>1.0017942583732058</v>
      </c>
      <c r="G235" s="40" t="s">
        <v>1298</v>
      </c>
    </row>
    <row r="236" spans="1:8">
      <c r="A236" s="37" t="s">
        <v>4</v>
      </c>
      <c r="B236" s="38" t="s">
        <v>1762</v>
      </c>
      <c r="C236" s="27" t="s">
        <v>1420</v>
      </c>
      <c r="D236" s="41">
        <v>167.2</v>
      </c>
      <c r="E236" s="119">
        <v>206.17105574729212</v>
      </c>
      <c r="F236" s="42">
        <v>1.2330804769574888</v>
      </c>
      <c r="G236" s="40" t="s">
        <v>1298</v>
      </c>
    </row>
    <row r="237" spans="1:8">
      <c r="A237" s="37" t="s">
        <v>4</v>
      </c>
      <c r="B237" s="38" t="s">
        <v>1762</v>
      </c>
      <c r="C237" s="27" t="s">
        <v>1423</v>
      </c>
      <c r="D237" s="41">
        <v>167.2</v>
      </c>
      <c r="E237" s="119">
        <v>138.62270749055912</v>
      </c>
      <c r="F237" s="42">
        <v>0.82908317877128668</v>
      </c>
      <c r="G237" s="40" t="s">
        <v>1310</v>
      </c>
    </row>
    <row r="238" spans="1:8">
      <c r="A238" s="37" t="s">
        <v>4</v>
      </c>
      <c r="B238" s="38" t="s">
        <v>1762</v>
      </c>
      <c r="C238" s="27" t="s">
        <v>1736</v>
      </c>
      <c r="D238" s="41">
        <v>167.2</v>
      </c>
      <c r="E238" s="119">
        <v>52.760000000000005</v>
      </c>
      <c r="F238" s="42">
        <v>0.3155502392344498</v>
      </c>
      <c r="G238" s="40" t="s">
        <v>1310</v>
      </c>
    </row>
    <row r="239" spans="1:8">
      <c r="A239" s="38" t="s">
        <v>3</v>
      </c>
      <c r="B239" s="38" t="s">
        <v>1202</v>
      </c>
      <c r="C239" s="38" t="s">
        <v>1539</v>
      </c>
      <c r="D239" s="41">
        <v>167.2</v>
      </c>
      <c r="E239" s="41">
        <v>144.13333333333333</v>
      </c>
      <c r="F239" s="42">
        <v>0.86204146730462516</v>
      </c>
      <c r="G239" s="40" t="s">
        <v>1300</v>
      </c>
      <c r="H239" s="20"/>
    </row>
    <row r="240" spans="1:8">
      <c r="A240" s="38" t="s">
        <v>3</v>
      </c>
      <c r="B240" s="38" t="s">
        <v>1202</v>
      </c>
      <c r="C240" s="264" t="s">
        <v>1540</v>
      </c>
      <c r="D240" s="266">
        <v>146.29999999999998</v>
      </c>
      <c r="E240" s="41">
        <v>47.81666666666667</v>
      </c>
      <c r="F240" s="42">
        <v>0.32683982683982687</v>
      </c>
      <c r="G240" s="40" t="s">
        <v>1300</v>
      </c>
      <c r="H240" s="20"/>
    </row>
    <row r="241" spans="1:10">
      <c r="A241" s="38" t="s">
        <v>3</v>
      </c>
      <c r="B241" s="38" t="s">
        <v>1202</v>
      </c>
      <c r="C241" s="38" t="s">
        <v>1541</v>
      </c>
      <c r="D241" s="41">
        <v>167.2</v>
      </c>
      <c r="E241" s="41">
        <v>133.69999999999999</v>
      </c>
      <c r="F241" s="42">
        <v>0.79964114832535882</v>
      </c>
      <c r="G241" s="40" t="s">
        <v>1300</v>
      </c>
      <c r="H241" s="20"/>
    </row>
    <row r="242" spans="1:10">
      <c r="A242" s="38" t="s">
        <v>3</v>
      </c>
      <c r="B242" s="38" t="s">
        <v>1202</v>
      </c>
      <c r="C242" s="38" t="s">
        <v>1542</v>
      </c>
      <c r="D242" s="41">
        <v>167.2</v>
      </c>
      <c r="E242" s="41">
        <v>107.95</v>
      </c>
      <c r="F242" s="42">
        <v>0.64563397129186606</v>
      </c>
      <c r="G242" s="40" t="s">
        <v>1300</v>
      </c>
      <c r="H242" s="36"/>
    </row>
    <row r="243" spans="1:10">
      <c r="A243" s="38" t="s">
        <v>3</v>
      </c>
      <c r="B243" s="38" t="s">
        <v>1202</v>
      </c>
      <c r="C243" s="38" t="s">
        <v>1543</v>
      </c>
      <c r="D243" s="41">
        <v>167.2</v>
      </c>
      <c r="E243" s="41">
        <v>87.683333333333337</v>
      </c>
      <c r="F243" s="42">
        <v>0.52442185007974484</v>
      </c>
      <c r="G243" s="40" t="s">
        <v>1300</v>
      </c>
      <c r="H243" s="36"/>
    </row>
    <row r="244" spans="1:10">
      <c r="A244" s="38" t="s">
        <v>3</v>
      </c>
      <c r="B244" s="38" t="s">
        <v>1202</v>
      </c>
      <c r="C244" s="38" t="s">
        <v>1544</v>
      </c>
      <c r="D244" s="41">
        <v>167.2</v>
      </c>
      <c r="E244" s="41">
        <v>121.71666666666667</v>
      </c>
      <c r="F244" s="42">
        <v>0.72797049441786288</v>
      </c>
      <c r="G244" s="40" t="s">
        <v>1300</v>
      </c>
      <c r="H244" s="36"/>
    </row>
    <row r="245" spans="1:10">
      <c r="A245" s="38" t="s">
        <v>3</v>
      </c>
      <c r="B245" s="38" t="s">
        <v>1202</v>
      </c>
      <c r="C245" s="38" t="s">
        <v>1545</v>
      </c>
      <c r="D245" s="41">
        <v>167.2</v>
      </c>
      <c r="E245" s="41">
        <v>108.96666666666667</v>
      </c>
      <c r="F245" s="42">
        <v>0.65171451355661891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264" t="s">
        <v>1221</v>
      </c>
      <c r="D246" s="266">
        <v>146.29999999999998</v>
      </c>
      <c r="E246" s="41">
        <v>116.56666666666666</v>
      </c>
      <c r="F246" s="42">
        <v>0.79676463886990212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1546</v>
      </c>
      <c r="D247" s="41">
        <v>167.2</v>
      </c>
      <c r="E247" s="41">
        <v>204.26666666666668</v>
      </c>
      <c r="F247" s="42">
        <v>1.2216905901116428</v>
      </c>
      <c r="G247" s="40" t="s">
        <v>1298</v>
      </c>
      <c r="H247" s="36"/>
    </row>
    <row r="248" spans="1:10">
      <c r="A248" s="38" t="s">
        <v>3</v>
      </c>
      <c r="B248" s="38" t="s">
        <v>1202</v>
      </c>
      <c r="C248" s="38" t="s">
        <v>1547</v>
      </c>
      <c r="D248" s="41">
        <v>167.2</v>
      </c>
      <c r="E248" s="41">
        <v>148.44999999999999</v>
      </c>
      <c r="F248" s="42">
        <v>0.88785885167464118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38" t="s">
        <v>1548</v>
      </c>
      <c r="D249" s="41">
        <v>167.2</v>
      </c>
      <c r="E249" s="41">
        <v>183.56666666666666</v>
      </c>
      <c r="F249" s="42">
        <v>1.0978867623604467</v>
      </c>
      <c r="G249" s="40" t="s">
        <v>1298</v>
      </c>
      <c r="H249" s="36"/>
      <c r="J249" s="200"/>
    </row>
    <row r="250" spans="1:10">
      <c r="A250" s="38" t="s">
        <v>3</v>
      </c>
      <c r="B250" s="38" t="s">
        <v>1202</v>
      </c>
      <c r="C250" s="38" t="s">
        <v>1549</v>
      </c>
      <c r="D250" s="41">
        <v>167.2</v>
      </c>
      <c r="E250" s="41">
        <v>151.16666666666666</v>
      </c>
      <c r="F250" s="42">
        <v>0.90410685805422653</v>
      </c>
      <c r="G250" s="40" t="s">
        <v>1301</v>
      </c>
      <c r="H250" s="36"/>
    </row>
    <row r="251" spans="1:10">
      <c r="A251" s="38" t="s">
        <v>3</v>
      </c>
      <c r="B251" s="38" t="s">
        <v>1202</v>
      </c>
      <c r="C251" s="38" t="s">
        <v>1550</v>
      </c>
      <c r="D251" s="41">
        <v>167.2</v>
      </c>
      <c r="E251" s="41">
        <v>37.916666666666664</v>
      </c>
      <c r="F251" s="42">
        <v>0.22677432216905902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1551</v>
      </c>
      <c r="D252" s="41">
        <v>167.2</v>
      </c>
      <c r="E252" s="41">
        <v>127.48333333333333</v>
      </c>
      <c r="F252" s="42">
        <v>0.76246012759170656</v>
      </c>
      <c r="G252" s="40" t="s">
        <v>1300</v>
      </c>
      <c r="H252" s="36"/>
    </row>
    <row r="253" spans="1:10">
      <c r="A253" s="38" t="s">
        <v>3</v>
      </c>
      <c r="B253" s="38" t="s">
        <v>1202</v>
      </c>
      <c r="C253" s="38" t="s">
        <v>1552</v>
      </c>
      <c r="D253" s="41">
        <v>167.2</v>
      </c>
      <c r="E253" s="41">
        <v>181.15</v>
      </c>
      <c r="F253" s="42">
        <v>1.0834330143540671</v>
      </c>
      <c r="G253" s="40" t="s">
        <v>1298</v>
      </c>
      <c r="H253" s="36"/>
    </row>
    <row r="254" spans="1:10">
      <c r="A254" s="38" t="s">
        <v>3</v>
      </c>
      <c r="B254" s="38" t="s">
        <v>1202</v>
      </c>
      <c r="C254" s="38" t="s">
        <v>1553</v>
      </c>
      <c r="D254" s="41">
        <v>167.2</v>
      </c>
      <c r="E254" s="41">
        <v>202.03333333333333</v>
      </c>
      <c r="F254" s="42">
        <v>1.2083333333333335</v>
      </c>
      <c r="G254" s="40" t="s">
        <v>1298</v>
      </c>
      <c r="H254" s="36"/>
    </row>
    <row r="255" spans="1:10">
      <c r="A255" s="73" t="s">
        <v>3</v>
      </c>
      <c r="B255" s="73" t="s">
        <v>1202</v>
      </c>
      <c r="C255" s="73" t="s">
        <v>1286</v>
      </c>
      <c r="D255" s="131">
        <v>83.6</v>
      </c>
      <c r="E255" s="41">
        <v>70.3</v>
      </c>
      <c r="F255" s="132">
        <v>0.84090909090909094</v>
      </c>
      <c r="G255" s="133" t="s">
        <v>1300</v>
      </c>
      <c r="H255" s="134"/>
    </row>
    <row r="256" spans="1:10">
      <c r="A256" s="73" t="s">
        <v>3</v>
      </c>
      <c r="B256" s="73" t="s">
        <v>1202</v>
      </c>
      <c r="C256" s="73" t="s">
        <v>1554</v>
      </c>
      <c r="D256" s="131">
        <v>167.2</v>
      </c>
      <c r="E256" s="131">
        <v>123.95</v>
      </c>
      <c r="F256" s="132">
        <v>0.74132775119617234</v>
      </c>
      <c r="G256" s="133" t="s">
        <v>1300</v>
      </c>
      <c r="H256" s="134"/>
    </row>
    <row r="257" spans="1:8">
      <c r="A257" s="38" t="s">
        <v>3</v>
      </c>
      <c r="B257" s="38" t="s">
        <v>1203</v>
      </c>
      <c r="C257" s="264" t="s">
        <v>1540</v>
      </c>
      <c r="D257" s="266">
        <v>146.29999999999998</v>
      </c>
      <c r="E257" s="41">
        <v>108.2</v>
      </c>
      <c r="F257" s="42">
        <v>0.73957621326042389</v>
      </c>
      <c r="G257" s="40" t="s">
        <v>1300</v>
      </c>
      <c r="H257" s="36"/>
    </row>
    <row r="258" spans="1:8">
      <c r="A258" s="38" t="s">
        <v>3</v>
      </c>
      <c r="B258" s="38" t="s">
        <v>1203</v>
      </c>
      <c r="C258" s="38" t="s">
        <v>1541</v>
      </c>
      <c r="D258" s="41">
        <v>167.2</v>
      </c>
      <c r="E258" s="41">
        <v>142.51666666666668</v>
      </c>
      <c r="F258" s="42">
        <v>0.85237240829346106</v>
      </c>
      <c r="G258" s="40" t="s">
        <v>1300</v>
      </c>
      <c r="H258" s="36"/>
    </row>
    <row r="259" spans="1:8">
      <c r="A259" s="38" t="s">
        <v>3</v>
      </c>
      <c r="B259" s="38" t="s">
        <v>1203</v>
      </c>
      <c r="C259" s="38" t="s">
        <v>1542</v>
      </c>
      <c r="D259" s="41">
        <v>167.2</v>
      </c>
      <c r="E259" s="41">
        <v>121.86666666666666</v>
      </c>
      <c r="F259" s="42">
        <v>0.72886762360446566</v>
      </c>
      <c r="G259" s="40" t="s">
        <v>1300</v>
      </c>
      <c r="H259" s="36"/>
    </row>
    <row r="260" spans="1:8">
      <c r="A260" s="38" t="s">
        <v>3</v>
      </c>
      <c r="B260" s="38" t="s">
        <v>1203</v>
      </c>
      <c r="C260" s="38" t="s">
        <v>1543</v>
      </c>
      <c r="D260" s="41">
        <v>167.2</v>
      </c>
      <c r="E260" s="41">
        <v>113.11666666666666</v>
      </c>
      <c r="F260" s="42">
        <v>0.67653508771929827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1544</v>
      </c>
      <c r="D261" s="41">
        <v>167.2</v>
      </c>
      <c r="E261" s="41">
        <v>169.05</v>
      </c>
      <c r="F261" s="42">
        <v>1.0110645933014355</v>
      </c>
      <c r="G261" s="40" t="s">
        <v>1298</v>
      </c>
      <c r="H261" s="36"/>
    </row>
    <row r="262" spans="1:8">
      <c r="A262" s="38" t="s">
        <v>3</v>
      </c>
      <c r="B262" s="38" t="s">
        <v>1203</v>
      </c>
      <c r="C262" s="38" t="s">
        <v>1545</v>
      </c>
      <c r="D262" s="41">
        <v>167.2</v>
      </c>
      <c r="E262" s="41">
        <v>118.13333333333334</v>
      </c>
      <c r="F262" s="42">
        <v>0.70653907496012769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264" t="s">
        <v>1221</v>
      </c>
      <c r="D263" s="266">
        <v>146.29999999999998</v>
      </c>
      <c r="E263" s="41">
        <v>130.35</v>
      </c>
      <c r="F263" s="42">
        <v>0.89097744360902265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1546</v>
      </c>
      <c r="D264" s="41">
        <v>167.2</v>
      </c>
      <c r="E264" s="41">
        <v>179.9</v>
      </c>
      <c r="F264" s="42">
        <v>1.0759569377990432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1547</v>
      </c>
      <c r="D265" s="41">
        <v>167.2</v>
      </c>
      <c r="E265" s="41">
        <v>233.08333333333334</v>
      </c>
      <c r="F265" s="42">
        <v>1.3940390749601277</v>
      </c>
      <c r="G265" s="40" t="s">
        <v>1298</v>
      </c>
      <c r="H265" s="36"/>
    </row>
    <row r="266" spans="1:8">
      <c r="A266" s="38" t="s">
        <v>3</v>
      </c>
      <c r="B266" s="38" t="s">
        <v>1203</v>
      </c>
      <c r="C266" s="38" t="s">
        <v>1548</v>
      </c>
      <c r="D266" s="41">
        <v>167.2</v>
      </c>
      <c r="E266" s="41">
        <v>182.35</v>
      </c>
      <c r="F266" s="42">
        <v>1.0906100478468901</v>
      </c>
      <c r="G266" s="40" t="s">
        <v>1298</v>
      </c>
    </row>
    <row r="267" spans="1:8">
      <c r="A267" s="38" t="s">
        <v>3</v>
      </c>
      <c r="B267" s="38" t="s">
        <v>1203</v>
      </c>
      <c r="C267" s="38" t="s">
        <v>1549</v>
      </c>
      <c r="D267" s="41">
        <v>167.2</v>
      </c>
      <c r="E267" s="41">
        <v>137.73333333333332</v>
      </c>
      <c r="F267" s="42">
        <v>0.8237639553429027</v>
      </c>
      <c r="G267" s="40" t="s">
        <v>1300</v>
      </c>
    </row>
    <row r="268" spans="1:8">
      <c r="A268" s="38" t="s">
        <v>3</v>
      </c>
      <c r="B268" s="38" t="s">
        <v>1203</v>
      </c>
      <c r="C268" s="38" t="s">
        <v>1551</v>
      </c>
      <c r="D268" s="41">
        <v>167.2</v>
      </c>
      <c r="E268" s="41">
        <v>145.33333333333334</v>
      </c>
      <c r="F268" s="42">
        <v>0.86921850079744833</v>
      </c>
      <c r="G268" s="40" t="s">
        <v>1300</v>
      </c>
      <c r="H268" s="135"/>
    </row>
    <row r="269" spans="1:8">
      <c r="A269" s="38" t="s">
        <v>3</v>
      </c>
      <c r="B269" s="38" t="s">
        <v>1203</v>
      </c>
      <c r="C269" s="38" t="s">
        <v>1552</v>
      </c>
      <c r="D269" s="41">
        <v>167.2</v>
      </c>
      <c r="E269" s="41">
        <v>165.05</v>
      </c>
      <c r="F269" s="42">
        <v>0.98714114832535904</v>
      </c>
      <c r="G269" s="40" t="s">
        <v>1299</v>
      </c>
    </row>
    <row r="270" spans="1:8">
      <c r="A270" s="38" t="s">
        <v>3</v>
      </c>
      <c r="B270" s="38" t="s">
        <v>1203</v>
      </c>
      <c r="C270" s="38" t="s">
        <v>1553</v>
      </c>
      <c r="D270" s="41">
        <v>167.2</v>
      </c>
      <c r="E270" s="41">
        <v>208.73333333333332</v>
      </c>
      <c r="F270" s="42">
        <v>1.2484051036682615</v>
      </c>
      <c r="G270" s="40" t="s">
        <v>1298</v>
      </c>
    </row>
    <row r="271" spans="1:8">
      <c r="A271" s="38" t="s">
        <v>3</v>
      </c>
      <c r="B271" s="38" t="s">
        <v>1203</v>
      </c>
      <c r="C271" s="38" t="s">
        <v>1286</v>
      </c>
      <c r="D271" s="41">
        <v>83.6</v>
      </c>
      <c r="E271" s="41">
        <v>62.483333333333334</v>
      </c>
      <c r="F271" s="42">
        <v>0.74740829346092508</v>
      </c>
      <c r="G271" s="40" t="s">
        <v>1300</v>
      </c>
    </row>
    <row r="272" spans="1:8">
      <c r="A272" s="73" t="s">
        <v>3</v>
      </c>
      <c r="B272" s="73" t="s">
        <v>1203</v>
      </c>
      <c r="C272" s="73" t="s">
        <v>1554</v>
      </c>
      <c r="D272" s="131">
        <v>167.2</v>
      </c>
      <c r="E272" s="131">
        <v>157.66666666666666</v>
      </c>
      <c r="F272" s="132">
        <v>0.94298245614035092</v>
      </c>
      <c r="G272" s="133" t="s">
        <v>1301</v>
      </c>
      <c r="H272" s="136"/>
    </row>
    <row r="273" spans="1:8">
      <c r="A273" s="38" t="s">
        <v>3</v>
      </c>
      <c r="B273" s="38" t="s">
        <v>1204</v>
      </c>
      <c r="C273" s="264" t="s">
        <v>1540</v>
      </c>
      <c r="D273" s="266">
        <v>146.29999999999998</v>
      </c>
      <c r="E273" s="41">
        <v>173.5</v>
      </c>
      <c r="F273" s="42">
        <v>1.1859193438140807</v>
      </c>
      <c r="G273" s="40" t="s">
        <v>1298</v>
      </c>
    </row>
    <row r="274" spans="1:8">
      <c r="A274" s="38" t="s">
        <v>3</v>
      </c>
      <c r="B274" s="38" t="s">
        <v>1204</v>
      </c>
      <c r="C274" s="38" t="s">
        <v>1541</v>
      </c>
      <c r="D274" s="41">
        <v>167.2</v>
      </c>
      <c r="E274" s="41">
        <v>149.86666666666667</v>
      </c>
      <c r="F274" s="42">
        <v>0.89633173843700165</v>
      </c>
      <c r="G274" s="40" t="s">
        <v>1300</v>
      </c>
    </row>
    <row r="275" spans="1:8">
      <c r="A275" s="38" t="s">
        <v>3</v>
      </c>
      <c r="B275" s="38" t="s">
        <v>1204</v>
      </c>
      <c r="C275" s="38" t="s">
        <v>1542</v>
      </c>
      <c r="D275" s="41">
        <v>167.2</v>
      </c>
      <c r="E275" s="41">
        <v>162.61666666666667</v>
      </c>
      <c r="F275" s="42">
        <v>0.97258771929824572</v>
      </c>
      <c r="G275" s="40" t="s">
        <v>1299</v>
      </c>
    </row>
    <row r="276" spans="1:8">
      <c r="A276" s="38" t="s">
        <v>3</v>
      </c>
      <c r="B276" s="38" t="s">
        <v>1204</v>
      </c>
      <c r="C276" s="38" t="s">
        <v>1543</v>
      </c>
      <c r="D276" s="41">
        <v>167.2</v>
      </c>
      <c r="E276" s="41">
        <v>165.71666666666667</v>
      </c>
      <c r="F276" s="42">
        <v>0.99112838915470503</v>
      </c>
      <c r="G276" s="40" t="s">
        <v>1299</v>
      </c>
    </row>
    <row r="277" spans="1:8">
      <c r="A277" s="38" t="s">
        <v>3</v>
      </c>
      <c r="B277" s="38" t="s">
        <v>1204</v>
      </c>
      <c r="C277" s="38" t="s">
        <v>1544</v>
      </c>
      <c r="D277" s="41">
        <v>167.2</v>
      </c>
      <c r="E277" s="41">
        <v>173.8</v>
      </c>
      <c r="F277" s="42">
        <v>1.0394736842105265</v>
      </c>
      <c r="G277" s="40" t="s">
        <v>1298</v>
      </c>
    </row>
    <row r="278" spans="1:8">
      <c r="A278" s="38" t="s">
        <v>3</v>
      </c>
      <c r="B278" s="38" t="s">
        <v>1204</v>
      </c>
      <c r="C278" s="38" t="s">
        <v>1545</v>
      </c>
      <c r="D278" s="41">
        <v>167.2</v>
      </c>
      <c r="E278" s="41">
        <v>111.56666666666666</v>
      </c>
      <c r="F278" s="42">
        <v>0.66726475279106856</v>
      </c>
      <c r="G278" s="40" t="s">
        <v>1300</v>
      </c>
    </row>
    <row r="279" spans="1:8">
      <c r="A279" s="38" t="s">
        <v>3</v>
      </c>
      <c r="B279" s="38" t="s">
        <v>1204</v>
      </c>
      <c r="C279" s="264" t="s">
        <v>1221</v>
      </c>
      <c r="D279" s="266">
        <v>146.29999999999998</v>
      </c>
      <c r="E279" s="41">
        <v>141.4</v>
      </c>
      <c r="F279" s="42">
        <v>0.96650717703349298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1546</v>
      </c>
      <c r="D280" s="41">
        <v>167.2</v>
      </c>
      <c r="E280" s="41">
        <v>202.13333333333333</v>
      </c>
      <c r="F280" s="42">
        <v>1.2089314194577352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1547</v>
      </c>
      <c r="D281" s="41">
        <v>167.2</v>
      </c>
      <c r="E281" s="41">
        <v>243.7</v>
      </c>
      <c r="F281" s="42">
        <v>1.4575358851674642</v>
      </c>
      <c r="G281" s="40" t="s">
        <v>1298</v>
      </c>
    </row>
    <row r="282" spans="1:8">
      <c r="A282" s="38" t="s">
        <v>3</v>
      </c>
      <c r="B282" s="38" t="s">
        <v>1204</v>
      </c>
      <c r="C282" s="38" t="s">
        <v>1548</v>
      </c>
      <c r="D282" s="41">
        <v>167.2</v>
      </c>
      <c r="E282" s="41">
        <v>213.1</v>
      </c>
      <c r="F282" s="42">
        <v>1.2745215311004785</v>
      </c>
      <c r="G282" s="40" t="s">
        <v>1298</v>
      </c>
    </row>
    <row r="283" spans="1:8">
      <c r="A283" s="38" t="s">
        <v>3</v>
      </c>
      <c r="B283" s="38" t="s">
        <v>1204</v>
      </c>
      <c r="C283" s="38" t="s">
        <v>1549</v>
      </c>
      <c r="D283" s="41">
        <v>167.2</v>
      </c>
      <c r="E283" s="41">
        <v>142.69999999999999</v>
      </c>
      <c r="F283" s="42">
        <v>0.85346889952153104</v>
      </c>
      <c r="G283" s="40" t="s">
        <v>1300</v>
      </c>
    </row>
    <row r="284" spans="1:8">
      <c r="A284" s="38" t="s">
        <v>3</v>
      </c>
      <c r="B284" s="38" t="s">
        <v>1204</v>
      </c>
      <c r="C284" s="264" t="s">
        <v>1555</v>
      </c>
      <c r="D284" s="266">
        <v>146.29999999999998</v>
      </c>
      <c r="E284" s="41">
        <v>6.7166666666666668</v>
      </c>
      <c r="F284" s="42">
        <v>4.5910230120756443E-2</v>
      </c>
      <c r="G284" s="40" t="s">
        <v>1300</v>
      </c>
      <c r="H284" s="135"/>
    </row>
    <row r="285" spans="1:8">
      <c r="A285" s="38" t="s">
        <v>3</v>
      </c>
      <c r="B285" s="38" t="s">
        <v>1204</v>
      </c>
      <c r="C285" s="38" t="s">
        <v>1551</v>
      </c>
      <c r="D285" s="41">
        <v>167.2</v>
      </c>
      <c r="E285" s="41">
        <v>175.95</v>
      </c>
      <c r="F285" s="42">
        <v>1.0523325358851674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1552</v>
      </c>
      <c r="D286" s="41">
        <v>167.2</v>
      </c>
      <c r="E286" s="41">
        <v>176.6</v>
      </c>
      <c r="F286" s="42">
        <v>1.0562200956937799</v>
      </c>
      <c r="G286" s="40" t="s">
        <v>1298</v>
      </c>
    </row>
    <row r="287" spans="1:8">
      <c r="A287" s="38" t="s">
        <v>3</v>
      </c>
      <c r="B287" s="38" t="s">
        <v>1204</v>
      </c>
      <c r="C287" s="38" t="s">
        <v>1553</v>
      </c>
      <c r="D287" s="41">
        <v>167.2</v>
      </c>
      <c r="E287" s="41">
        <v>240.4</v>
      </c>
      <c r="F287" s="42">
        <v>1.4377990430622012</v>
      </c>
      <c r="G287" s="40" t="s">
        <v>1298</v>
      </c>
    </row>
    <row r="288" spans="1:8">
      <c r="A288" s="38" t="s">
        <v>3</v>
      </c>
      <c r="B288" s="38" t="s">
        <v>1204</v>
      </c>
      <c r="C288" s="38" t="s">
        <v>1286</v>
      </c>
      <c r="D288" s="41">
        <v>83.6</v>
      </c>
      <c r="E288" s="41">
        <v>74.38333333333334</v>
      </c>
      <c r="F288" s="42">
        <v>0.88975279106858063</v>
      </c>
      <c r="G288" s="40" t="s">
        <v>1300</v>
      </c>
    </row>
    <row r="289" spans="1:8">
      <c r="A289" s="73" t="s">
        <v>3</v>
      </c>
      <c r="B289" s="73" t="s">
        <v>1204</v>
      </c>
      <c r="C289" s="73" t="s">
        <v>1554</v>
      </c>
      <c r="D289" s="131">
        <v>167.2</v>
      </c>
      <c r="E289" s="131">
        <v>159.88333333333333</v>
      </c>
      <c r="F289" s="132">
        <v>0.95624003189792661</v>
      </c>
      <c r="G289" s="133" t="s">
        <v>1299</v>
      </c>
      <c r="H289" s="136"/>
    </row>
    <row r="290" spans="1:8">
      <c r="A290" s="38" t="s">
        <v>3</v>
      </c>
      <c r="B290" s="38" t="s">
        <v>1205</v>
      </c>
      <c r="C290" s="264" t="s">
        <v>1540</v>
      </c>
      <c r="D290" s="266">
        <v>146.29999999999998</v>
      </c>
      <c r="E290" s="41">
        <v>151.05000000000001</v>
      </c>
      <c r="F290" s="42">
        <v>1.0324675324675328</v>
      </c>
      <c r="G290" s="40" t="s">
        <v>1298</v>
      </c>
    </row>
    <row r="291" spans="1:8">
      <c r="A291" s="38" t="s">
        <v>3</v>
      </c>
      <c r="B291" s="38" t="s">
        <v>1205</v>
      </c>
      <c r="C291" s="38" t="s">
        <v>1541</v>
      </c>
      <c r="D291" s="41">
        <v>167.2</v>
      </c>
      <c r="E291" s="41">
        <v>166.33333333333334</v>
      </c>
      <c r="F291" s="42">
        <v>0.99481658692185015</v>
      </c>
      <c r="G291" s="40" t="s">
        <v>1299</v>
      </c>
    </row>
    <row r="292" spans="1:8">
      <c r="A292" s="38" t="s">
        <v>3</v>
      </c>
      <c r="B292" s="38" t="s">
        <v>1205</v>
      </c>
      <c r="C292" s="38" t="s">
        <v>1542</v>
      </c>
      <c r="D292" s="41">
        <v>167.2</v>
      </c>
      <c r="E292" s="41">
        <v>133.16666666666666</v>
      </c>
      <c r="F292" s="42">
        <v>0.79645135566188197</v>
      </c>
      <c r="G292" s="40" t="s">
        <v>1300</v>
      </c>
    </row>
    <row r="293" spans="1:8">
      <c r="A293" s="38" t="s">
        <v>3</v>
      </c>
      <c r="B293" s="38" t="s">
        <v>1205</v>
      </c>
      <c r="C293" s="38" t="s">
        <v>1543</v>
      </c>
      <c r="D293" s="41">
        <v>167.2</v>
      </c>
      <c r="E293" s="41">
        <v>155.88333333333333</v>
      </c>
      <c r="F293" s="42">
        <v>0.93231658692185004</v>
      </c>
      <c r="G293" s="40" t="s">
        <v>1301</v>
      </c>
    </row>
    <row r="294" spans="1:8">
      <c r="A294" s="38" t="s">
        <v>3</v>
      </c>
      <c r="B294" s="38" t="s">
        <v>1205</v>
      </c>
      <c r="C294" s="38" t="s">
        <v>1544</v>
      </c>
      <c r="D294" s="41">
        <v>167.2</v>
      </c>
      <c r="E294" s="41">
        <v>170.9</v>
      </c>
      <c r="F294" s="42">
        <v>1.022129186602871</v>
      </c>
      <c r="G294" s="40" t="s">
        <v>1298</v>
      </c>
    </row>
    <row r="295" spans="1:8">
      <c r="A295" s="38" t="s">
        <v>3</v>
      </c>
      <c r="B295" s="38" t="s">
        <v>1205</v>
      </c>
      <c r="C295" s="38" t="s">
        <v>1545</v>
      </c>
      <c r="D295" s="41">
        <v>167.2</v>
      </c>
      <c r="E295" s="41">
        <v>31.816666666666666</v>
      </c>
      <c r="F295" s="42">
        <v>0.19029106858054229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1221</v>
      </c>
      <c r="D296" s="41">
        <v>167.2</v>
      </c>
      <c r="E296" s="41">
        <v>142.46666666666667</v>
      </c>
      <c r="F296" s="42">
        <v>0.85207336523125998</v>
      </c>
      <c r="G296" s="40" t="s">
        <v>1300</v>
      </c>
    </row>
    <row r="297" spans="1:8">
      <c r="A297" s="38" t="s">
        <v>3</v>
      </c>
      <c r="B297" s="38" t="s">
        <v>1205</v>
      </c>
      <c r="C297" s="38" t="s">
        <v>1546</v>
      </c>
      <c r="D297" s="41">
        <v>167.2</v>
      </c>
      <c r="E297" s="41">
        <v>196.6</v>
      </c>
      <c r="F297" s="42">
        <v>1.1758373205741628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1547</v>
      </c>
      <c r="D298" s="41">
        <v>167.2</v>
      </c>
      <c r="E298" s="41">
        <v>263.91666666666669</v>
      </c>
      <c r="F298" s="42">
        <v>1.5784489633173846</v>
      </c>
      <c r="G298" s="40" t="s">
        <v>1298</v>
      </c>
    </row>
    <row r="299" spans="1:8">
      <c r="A299" s="38" t="s">
        <v>3</v>
      </c>
      <c r="B299" s="38" t="s">
        <v>1205</v>
      </c>
      <c r="C299" s="38" t="s">
        <v>1548</v>
      </c>
      <c r="D299" s="41">
        <v>167.2</v>
      </c>
      <c r="E299" s="41">
        <v>158.03333333333333</v>
      </c>
      <c r="F299" s="42">
        <v>0.94517543859649134</v>
      </c>
      <c r="G299" s="40" t="s">
        <v>1301</v>
      </c>
      <c r="H299" s="135"/>
    </row>
    <row r="300" spans="1:8">
      <c r="A300" s="38" t="s">
        <v>3</v>
      </c>
      <c r="B300" s="38" t="s">
        <v>1205</v>
      </c>
      <c r="C300" s="38" t="s">
        <v>1549</v>
      </c>
      <c r="D300" s="41">
        <v>167.2</v>
      </c>
      <c r="E300" s="41">
        <v>143.03333333333333</v>
      </c>
      <c r="F300" s="42">
        <v>0.85546251993620415</v>
      </c>
      <c r="G300" s="40" t="s">
        <v>1300</v>
      </c>
    </row>
    <row r="301" spans="1:8">
      <c r="A301" s="38" t="s">
        <v>3</v>
      </c>
      <c r="B301" s="38" t="s">
        <v>1205</v>
      </c>
      <c r="C301" s="264" t="s">
        <v>1555</v>
      </c>
      <c r="D301" s="266">
        <v>146.29999999999998</v>
      </c>
      <c r="E301" s="41">
        <v>121.81666666666666</v>
      </c>
      <c r="F301" s="42">
        <v>0.83264980633401697</v>
      </c>
      <c r="G301" s="40" t="s">
        <v>1300</v>
      </c>
    </row>
    <row r="302" spans="1:8">
      <c r="A302" s="38" t="s">
        <v>3</v>
      </c>
      <c r="B302" s="38" t="s">
        <v>1205</v>
      </c>
      <c r="C302" s="38" t="s">
        <v>1551</v>
      </c>
      <c r="D302" s="41">
        <v>167.2</v>
      </c>
      <c r="E302" s="41">
        <v>167.88333333333333</v>
      </c>
      <c r="F302" s="42">
        <v>1.0040869218500799</v>
      </c>
      <c r="G302" s="40" t="s">
        <v>1298</v>
      </c>
    </row>
    <row r="303" spans="1:8">
      <c r="A303" s="38" t="s">
        <v>3</v>
      </c>
      <c r="B303" s="38" t="s">
        <v>1205</v>
      </c>
      <c r="C303" s="38" t="s">
        <v>1552</v>
      </c>
      <c r="D303" s="41">
        <v>167.2</v>
      </c>
      <c r="E303" s="41">
        <v>191.1</v>
      </c>
      <c r="F303" s="42">
        <v>1.1429425837320575</v>
      </c>
      <c r="G303" s="40" t="s">
        <v>1298</v>
      </c>
    </row>
    <row r="304" spans="1:8">
      <c r="A304" s="38" t="s">
        <v>3</v>
      </c>
      <c r="B304" s="38" t="s">
        <v>1205</v>
      </c>
      <c r="C304" s="38" t="s">
        <v>1553</v>
      </c>
      <c r="D304" s="41">
        <v>167.2</v>
      </c>
      <c r="E304" s="41">
        <v>230.61666666666667</v>
      </c>
      <c r="F304" s="42">
        <v>1.3792862838915472</v>
      </c>
      <c r="G304" s="40" t="s">
        <v>1298</v>
      </c>
    </row>
    <row r="305" spans="1:8">
      <c r="A305" s="38" t="s">
        <v>3</v>
      </c>
      <c r="B305" s="38" t="s">
        <v>1205</v>
      </c>
      <c r="C305" s="38" t="s">
        <v>1286</v>
      </c>
      <c r="D305" s="41">
        <v>83.6</v>
      </c>
      <c r="E305" s="41">
        <v>81.316666666666663</v>
      </c>
      <c r="F305" s="42">
        <v>0.97268740031897927</v>
      </c>
      <c r="G305" s="40" t="s">
        <v>1299</v>
      </c>
    </row>
    <row r="306" spans="1:8">
      <c r="A306" s="73" t="s">
        <v>3</v>
      </c>
      <c r="B306" s="73" t="s">
        <v>1205</v>
      </c>
      <c r="C306" s="73" t="s">
        <v>1554</v>
      </c>
      <c r="D306" s="131">
        <v>167.2</v>
      </c>
      <c r="E306" s="131">
        <v>164.96666666666667</v>
      </c>
      <c r="F306" s="132">
        <v>0.98664274322169065</v>
      </c>
      <c r="G306" s="133" t="s">
        <v>1299</v>
      </c>
      <c r="H306" s="136"/>
    </row>
    <row r="307" spans="1:8">
      <c r="A307" s="38" t="s">
        <v>3</v>
      </c>
      <c r="B307" s="38" t="s">
        <v>1762</v>
      </c>
      <c r="C307" s="264" t="s">
        <v>1540</v>
      </c>
      <c r="D307" s="266">
        <v>146.29999999999998</v>
      </c>
      <c r="E307" s="41">
        <v>109</v>
      </c>
      <c r="F307" s="42">
        <v>0.74504442925495562</v>
      </c>
      <c r="G307" s="40" t="s">
        <v>1300</v>
      </c>
    </row>
    <row r="308" spans="1:8">
      <c r="A308" s="38" t="s">
        <v>3</v>
      </c>
      <c r="B308" s="38" t="s">
        <v>1762</v>
      </c>
      <c r="C308" s="38" t="s">
        <v>1541</v>
      </c>
      <c r="D308" s="41">
        <v>167.2</v>
      </c>
      <c r="E308" s="41">
        <v>154</v>
      </c>
      <c r="F308" s="42">
        <v>0.92105263157894746</v>
      </c>
      <c r="G308" s="40" t="s">
        <v>1301</v>
      </c>
    </row>
    <row r="309" spans="1:8">
      <c r="A309" s="38" t="s">
        <v>3</v>
      </c>
      <c r="B309" s="38" t="s">
        <v>1762</v>
      </c>
      <c r="C309" s="38" t="s">
        <v>1542</v>
      </c>
      <c r="D309" s="41">
        <v>167.2</v>
      </c>
      <c r="E309" s="41">
        <v>169</v>
      </c>
      <c r="F309" s="42">
        <v>1.0107655502392345</v>
      </c>
      <c r="G309" s="40" t="s">
        <v>1298</v>
      </c>
    </row>
    <row r="310" spans="1:8">
      <c r="A310" s="38" t="s">
        <v>3</v>
      </c>
      <c r="B310" s="38" t="s">
        <v>1762</v>
      </c>
      <c r="C310" s="38" t="s">
        <v>1543</v>
      </c>
      <c r="D310" s="41">
        <v>167.2</v>
      </c>
      <c r="E310" s="41">
        <v>153</v>
      </c>
      <c r="F310" s="42">
        <v>0.91507177033492826</v>
      </c>
      <c r="G310" s="40" t="s">
        <v>1301</v>
      </c>
    </row>
    <row r="311" spans="1:8">
      <c r="A311" s="38" t="s">
        <v>3</v>
      </c>
      <c r="B311" s="38" t="s">
        <v>1762</v>
      </c>
      <c r="C311" s="38" t="s">
        <v>1544</v>
      </c>
      <c r="D311" s="41">
        <v>167.2</v>
      </c>
      <c r="E311" s="41">
        <v>122</v>
      </c>
      <c r="F311" s="42">
        <v>0.72966507177033502</v>
      </c>
      <c r="G311" s="40" t="s">
        <v>1300</v>
      </c>
    </row>
    <row r="312" spans="1:8">
      <c r="A312" s="38" t="s">
        <v>3</v>
      </c>
      <c r="B312" s="38" t="s">
        <v>1762</v>
      </c>
      <c r="C312" s="38" t="s">
        <v>1221</v>
      </c>
      <c r="D312" s="41">
        <v>167.2</v>
      </c>
      <c r="E312" s="41">
        <v>87</v>
      </c>
      <c r="F312" s="42">
        <v>0.52033492822966509</v>
      </c>
      <c r="G312" s="40" t="s">
        <v>1300</v>
      </c>
    </row>
    <row r="313" spans="1:8">
      <c r="A313" s="38" t="s">
        <v>3</v>
      </c>
      <c r="B313" s="38" t="s">
        <v>1762</v>
      </c>
      <c r="C313" s="38" t="s">
        <v>1546</v>
      </c>
      <c r="D313" s="41">
        <v>167.2</v>
      </c>
      <c r="E313" s="41">
        <v>160</v>
      </c>
      <c r="F313" s="42">
        <v>0.95693779904306231</v>
      </c>
      <c r="G313" s="40" t="s">
        <v>1299</v>
      </c>
    </row>
    <row r="314" spans="1:8">
      <c r="A314" s="38" t="s">
        <v>3</v>
      </c>
      <c r="B314" s="38" t="s">
        <v>1762</v>
      </c>
      <c r="C314" s="38" t="s">
        <v>1547</v>
      </c>
      <c r="D314" s="41">
        <v>167.2</v>
      </c>
      <c r="E314" s="41">
        <v>214</v>
      </c>
      <c r="F314" s="42">
        <v>1.2799043062200959</v>
      </c>
      <c r="G314" s="40" t="s">
        <v>1298</v>
      </c>
    </row>
    <row r="315" spans="1:8">
      <c r="A315" s="38" t="s">
        <v>3</v>
      </c>
      <c r="B315" s="38" t="s">
        <v>1762</v>
      </c>
      <c r="C315" s="38" t="s">
        <v>1548</v>
      </c>
      <c r="D315" s="41">
        <v>167.2</v>
      </c>
      <c r="E315" s="41">
        <v>170</v>
      </c>
      <c r="F315" s="42">
        <v>1.0167464114832536</v>
      </c>
      <c r="G315" s="40" t="s">
        <v>1298</v>
      </c>
    </row>
    <row r="316" spans="1:8">
      <c r="A316" s="38" t="s">
        <v>3</v>
      </c>
      <c r="B316" s="38" t="s">
        <v>1762</v>
      </c>
      <c r="C316" s="38" t="s">
        <v>1549</v>
      </c>
      <c r="D316" s="41">
        <v>167.2</v>
      </c>
      <c r="E316" s="41">
        <v>133</v>
      </c>
      <c r="F316" s="42">
        <v>0.79545454545454553</v>
      </c>
      <c r="G316" s="40" t="s">
        <v>1300</v>
      </c>
    </row>
    <row r="317" spans="1:8">
      <c r="A317" s="38" t="s">
        <v>3</v>
      </c>
      <c r="B317" s="38" t="s">
        <v>1762</v>
      </c>
      <c r="C317" s="264" t="s">
        <v>1555</v>
      </c>
      <c r="D317" s="266">
        <v>146.29999999999998</v>
      </c>
      <c r="E317" s="41">
        <v>111</v>
      </c>
      <c r="F317" s="42">
        <v>0.75871496924128512</v>
      </c>
      <c r="G317" s="40" t="s">
        <v>1300</v>
      </c>
    </row>
    <row r="318" spans="1:8">
      <c r="A318" s="38" t="s">
        <v>3</v>
      </c>
      <c r="B318" s="38" t="s">
        <v>1762</v>
      </c>
      <c r="C318" s="38" t="s">
        <v>1551</v>
      </c>
      <c r="D318" s="41">
        <v>167.2</v>
      </c>
      <c r="E318" s="41">
        <v>119</v>
      </c>
      <c r="F318" s="42">
        <v>0.71172248803827753</v>
      </c>
      <c r="G318" s="40" t="s">
        <v>1300</v>
      </c>
    </row>
    <row r="319" spans="1:8">
      <c r="A319" s="38" t="s">
        <v>3</v>
      </c>
      <c r="B319" s="38" t="s">
        <v>1762</v>
      </c>
      <c r="C319" s="38" t="s">
        <v>1552</v>
      </c>
      <c r="D319" s="41">
        <v>167.2</v>
      </c>
      <c r="E319" s="41">
        <v>183</v>
      </c>
      <c r="F319" s="42">
        <v>1.0944976076555024</v>
      </c>
      <c r="G319" s="40" t="s">
        <v>1298</v>
      </c>
    </row>
    <row r="320" spans="1:8">
      <c r="A320" s="38" t="s">
        <v>3</v>
      </c>
      <c r="B320" s="38" t="s">
        <v>1762</v>
      </c>
      <c r="C320" s="38" t="s">
        <v>1553</v>
      </c>
      <c r="D320" s="41">
        <v>167.2</v>
      </c>
      <c r="E320" s="41">
        <v>225</v>
      </c>
      <c r="F320" s="42">
        <v>1.3456937799043063</v>
      </c>
      <c r="G320" s="40" t="s">
        <v>1298</v>
      </c>
    </row>
    <row r="321" spans="1:7">
      <c r="A321" s="38" t="s">
        <v>3</v>
      </c>
      <c r="B321" s="38" t="s">
        <v>1762</v>
      </c>
      <c r="C321" s="38" t="s">
        <v>1286</v>
      </c>
      <c r="D321" s="41">
        <v>83.6</v>
      </c>
      <c r="E321" s="41">
        <v>54</v>
      </c>
      <c r="F321" s="42">
        <v>0.64593301435406703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1554</v>
      </c>
      <c r="D322" s="41">
        <v>167.2</v>
      </c>
      <c r="E322" s="41">
        <v>152</v>
      </c>
      <c r="F322" s="42">
        <v>0.90909090909090917</v>
      </c>
      <c r="G322" s="40" t="s">
        <v>1301</v>
      </c>
    </row>
    <row r="323" spans="1:7">
      <c r="A323" s="38" t="s">
        <v>3</v>
      </c>
      <c r="B323" s="38" t="s">
        <v>1762</v>
      </c>
      <c r="C323" s="264" t="s">
        <v>1809</v>
      </c>
      <c r="D323" s="266">
        <v>146.29999999999998</v>
      </c>
      <c r="E323" s="41">
        <v>87</v>
      </c>
      <c r="F323" s="42">
        <v>0.59466848940533157</v>
      </c>
      <c r="G323" s="40" t="s">
        <v>1300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4"/>
      <c r="D326" s="266"/>
      <c r="E326" s="41"/>
      <c r="F326" s="42"/>
      <c r="G326" s="40"/>
    </row>
  </sheetData>
  <autoFilter ref="A2:N2" xr:uid="{8D5032B1-ED59-4A5E-8924-78A9B43C3F07}"/>
  <conditionalFormatting sqref="G1:G2 G327:G1048576">
    <cfRule type="expression" dxfId="118" priority="421">
      <formula>"G1&gt;100"</formula>
    </cfRule>
  </conditionalFormatting>
  <conditionalFormatting sqref="G327:G526">
    <cfRule type="expression" dxfId="117" priority="435">
      <formula>$G327="Low Load"</formula>
    </cfRule>
    <cfRule type="expression" dxfId="116" priority="436">
      <formula>$G327="Balanced"</formula>
    </cfRule>
    <cfRule type="expression" dxfId="115" priority="437">
      <formula>$G327="High Load"</formula>
    </cfRule>
    <cfRule type="expression" dxfId="114" priority="438">
      <formula>$G327="Overload"</formula>
    </cfRule>
  </conditionalFormatting>
  <conditionalFormatting sqref="G324:G326">
    <cfRule type="expression" dxfId="113" priority="49">
      <formula>$G324="Less load"</formula>
    </cfRule>
    <cfRule type="expression" dxfId="112" priority="50">
      <formula>$G324="Balanced"</formula>
    </cfRule>
    <cfRule type="expression" dxfId="111" priority="51">
      <formula>$G324="High load"</formula>
    </cfRule>
    <cfRule type="expression" dxfId="110" priority="52">
      <formula>$G324="Overload"</formula>
    </cfRule>
  </conditionalFormatting>
  <conditionalFormatting sqref="G3:G47">
    <cfRule type="expression" dxfId="109" priority="13">
      <formula>$G3="Less load"</formula>
    </cfRule>
    <cfRule type="expression" dxfId="108" priority="14">
      <formula>$G3="Balanced"</formula>
    </cfRule>
    <cfRule type="expression" dxfId="107" priority="15">
      <formula>$G3="High load"</formula>
    </cfRule>
    <cfRule type="expression" dxfId="106" priority="16">
      <formula>$G3="Overload"</formula>
    </cfRule>
  </conditionalFormatting>
  <conditionalFormatting sqref="G48:G150">
    <cfRule type="expression" dxfId="105" priority="9">
      <formula>$G48="Less load"</formula>
    </cfRule>
    <cfRule type="expression" dxfId="104" priority="10">
      <formula>$G48="Balanced"</formula>
    </cfRule>
    <cfRule type="expression" dxfId="103" priority="11">
      <formula>$G48="High load"</formula>
    </cfRule>
    <cfRule type="expression" dxfId="102" priority="12">
      <formula>$G48="Overload"</formula>
    </cfRule>
  </conditionalFormatting>
  <conditionalFormatting sqref="G151:G238">
    <cfRule type="expression" dxfId="101" priority="5">
      <formula>$G151="Less load"</formula>
    </cfRule>
    <cfRule type="expression" dxfId="100" priority="6">
      <formula>$G151="Balanced"</formula>
    </cfRule>
    <cfRule type="expression" dxfId="99" priority="7">
      <formula>$G151="High load"</formula>
    </cfRule>
    <cfRule type="expression" dxfId="98" priority="8">
      <formula>$G151="Overload"</formula>
    </cfRule>
  </conditionalFormatting>
  <conditionalFormatting sqref="G239:G323">
    <cfRule type="expression" dxfId="97" priority="1">
      <formula>$G239="Less load"</formula>
    </cfRule>
    <cfRule type="expression" dxfId="96" priority="2">
      <formula>$G239="Balanced"</formula>
    </cfRule>
    <cfRule type="expression" dxfId="95" priority="3">
      <formula>$G239="High load"</formula>
    </cfRule>
    <cfRule type="expression" dxfId="94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G7" sqref="G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1201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1215</v>
      </c>
      <c r="D2" s="92" t="s">
        <v>1231</v>
      </c>
    </row>
    <row r="3" spans="1:6">
      <c r="A3" s="38" t="s">
        <v>2</v>
      </c>
      <c r="B3" s="38" t="s">
        <v>1202</v>
      </c>
      <c r="C3" s="317">
        <v>76</v>
      </c>
      <c r="D3" s="240">
        <v>2527</v>
      </c>
      <c r="E3" s="315"/>
      <c r="F3" s="316"/>
    </row>
    <row r="4" spans="1:6">
      <c r="A4" s="38" t="s">
        <v>2</v>
      </c>
      <c r="B4" s="38" t="s">
        <v>1203</v>
      </c>
      <c r="C4" s="317">
        <v>74</v>
      </c>
      <c r="D4" s="240">
        <v>2509</v>
      </c>
      <c r="E4" s="315"/>
      <c r="F4" s="316"/>
    </row>
    <row r="5" spans="1:6">
      <c r="A5" s="38" t="s">
        <v>2</v>
      </c>
      <c r="B5" s="38" t="s">
        <v>1204</v>
      </c>
      <c r="C5" s="317">
        <v>76</v>
      </c>
      <c r="D5" s="240">
        <v>2770</v>
      </c>
      <c r="E5" s="315"/>
      <c r="F5" s="316"/>
    </row>
    <row r="6" spans="1:6">
      <c r="A6" s="38" t="s">
        <v>2</v>
      </c>
      <c r="B6" s="38" t="s">
        <v>1205</v>
      </c>
      <c r="C6" s="317">
        <v>70</v>
      </c>
      <c r="D6" s="240">
        <v>2956</v>
      </c>
      <c r="E6" s="315"/>
      <c r="F6" s="316"/>
    </row>
    <row r="7" spans="1:6">
      <c r="A7" s="38" t="s">
        <v>2</v>
      </c>
      <c r="B7" s="38" t="s">
        <v>1762</v>
      </c>
      <c r="C7" s="317">
        <v>73</v>
      </c>
      <c r="D7" s="240">
        <v>2795</v>
      </c>
      <c r="E7" s="315"/>
      <c r="F7" s="316"/>
    </row>
    <row r="8" spans="1:6">
      <c r="A8" s="56" t="s">
        <v>1</v>
      </c>
      <c r="B8" s="308" t="s">
        <v>1202</v>
      </c>
      <c r="C8" s="311">
        <v>167</v>
      </c>
      <c r="D8" s="311">
        <v>3502</v>
      </c>
    </row>
    <row r="9" spans="1:6">
      <c r="A9" s="309" t="s">
        <v>1</v>
      </c>
      <c r="B9" s="310" t="s">
        <v>1203</v>
      </c>
      <c r="C9" s="312">
        <v>165</v>
      </c>
      <c r="D9" s="312">
        <v>3560</v>
      </c>
    </row>
    <row r="10" spans="1:6">
      <c r="A10" s="309" t="s">
        <v>1</v>
      </c>
      <c r="B10" s="310" t="s">
        <v>1204</v>
      </c>
      <c r="C10" s="312">
        <v>181</v>
      </c>
      <c r="D10" s="312">
        <v>4036</v>
      </c>
    </row>
    <row r="11" spans="1:6">
      <c r="A11" s="309" t="s">
        <v>1</v>
      </c>
      <c r="B11" s="310" t="s">
        <v>1205</v>
      </c>
      <c r="C11" s="312">
        <v>177</v>
      </c>
      <c r="D11" s="312">
        <v>4474</v>
      </c>
    </row>
    <row r="12" spans="1:6">
      <c r="A12" s="309" t="s">
        <v>1</v>
      </c>
      <c r="B12" s="310" t="s">
        <v>1762</v>
      </c>
      <c r="C12" s="312">
        <v>183</v>
      </c>
      <c r="D12" s="312">
        <v>4195</v>
      </c>
    </row>
    <row r="13" spans="1:6">
      <c r="A13" s="38" t="s">
        <v>4</v>
      </c>
      <c r="B13" s="38" t="s">
        <v>1202</v>
      </c>
      <c r="C13" s="28">
        <v>395</v>
      </c>
      <c r="D13" s="28">
        <v>3879</v>
      </c>
    </row>
    <row r="14" spans="1:6">
      <c r="A14" s="38" t="s">
        <v>4</v>
      </c>
      <c r="B14" s="38" t="s">
        <v>1203</v>
      </c>
      <c r="C14" s="28">
        <v>360</v>
      </c>
      <c r="D14" s="28">
        <v>4125</v>
      </c>
    </row>
    <row r="15" spans="1:6">
      <c r="A15" s="38" t="s">
        <v>4</v>
      </c>
      <c r="B15" s="38" t="s">
        <v>1204</v>
      </c>
      <c r="C15" s="28">
        <v>341</v>
      </c>
      <c r="D15" s="28">
        <v>4641</v>
      </c>
    </row>
    <row r="16" spans="1:6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8">
        <v>126</v>
      </c>
      <c r="D18" s="58">
        <v>4366</v>
      </c>
    </row>
    <row r="19" spans="1:4">
      <c r="A19" s="38" t="s">
        <v>3</v>
      </c>
      <c r="B19" s="38" t="s">
        <v>1203</v>
      </c>
      <c r="C19" s="58">
        <v>128</v>
      </c>
      <c r="D19" s="58">
        <v>4540</v>
      </c>
    </row>
    <row r="20" spans="1:4">
      <c r="A20" s="38" t="s">
        <v>3</v>
      </c>
      <c r="B20" s="38" t="s">
        <v>1204</v>
      </c>
      <c r="C20" s="58">
        <v>120</v>
      </c>
      <c r="D20" s="58">
        <v>5175</v>
      </c>
    </row>
    <row r="21" spans="1:4">
      <c r="A21" s="38" t="s">
        <v>3</v>
      </c>
      <c r="B21" s="38" t="s">
        <v>1205</v>
      </c>
      <c r="C21" s="58">
        <v>131</v>
      </c>
      <c r="D21" s="58">
        <v>5197</v>
      </c>
    </row>
    <row r="22" spans="1:4">
      <c r="A22" s="38" t="s">
        <v>3</v>
      </c>
      <c r="B22" s="38" t="s">
        <v>1762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tabSelected="1"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T3" sqref="T3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1197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18" t="s">
        <v>1897</v>
      </c>
      <c r="S1" s="318"/>
      <c r="T1" s="318"/>
      <c r="U1" s="318"/>
      <c r="V1" s="318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1236</v>
      </c>
      <c r="E2" s="81" t="s">
        <v>1241</v>
      </c>
      <c r="F2" s="81" t="s">
        <v>1237</v>
      </c>
      <c r="G2" s="81" t="s">
        <v>1240</v>
      </c>
      <c r="H2" s="81" t="s">
        <v>1238</v>
      </c>
      <c r="I2" s="81" t="s">
        <v>1239</v>
      </c>
      <c r="J2" s="81" t="s">
        <v>1242</v>
      </c>
      <c r="K2" s="81" t="s">
        <v>1243</v>
      </c>
      <c r="L2" s="81" t="s">
        <v>1244</v>
      </c>
      <c r="M2" s="82" t="s">
        <v>1200</v>
      </c>
      <c r="N2" s="82" t="s">
        <v>1252</v>
      </c>
      <c r="R2" s="81" t="s">
        <v>1236</v>
      </c>
      <c r="S2" s="81" t="s">
        <v>1237</v>
      </c>
      <c r="T2" s="81" t="s">
        <v>1238</v>
      </c>
      <c r="U2" s="81" t="s">
        <v>1242</v>
      </c>
      <c r="V2" s="81" t="s">
        <v>1244</v>
      </c>
      <c r="W2" s="83" t="s">
        <v>1894</v>
      </c>
      <c r="X2" s="83" t="s">
        <v>1893</v>
      </c>
      <c r="Y2" s="83" t="s">
        <v>1896</v>
      </c>
      <c r="Z2" s="83" t="s">
        <v>1895</v>
      </c>
      <c r="AA2" s="83" t="s">
        <v>1892</v>
      </c>
      <c r="AB2" s="83" t="s">
        <v>1903</v>
      </c>
      <c r="AC2" s="83" t="s">
        <v>1902</v>
      </c>
      <c r="AD2" s="83" t="s">
        <v>1899</v>
      </c>
      <c r="AE2" s="83" t="s">
        <v>1904</v>
      </c>
      <c r="AF2" s="83" t="s">
        <v>1899</v>
      </c>
      <c r="AG2" s="83" t="s">
        <v>1905</v>
      </c>
      <c r="AH2" s="83" t="s">
        <v>1906</v>
      </c>
    </row>
    <row r="3" spans="1:35" ht="20.45" customHeight="1">
      <c r="A3" s="37" t="s">
        <v>2</v>
      </c>
      <c r="B3" s="38" t="s">
        <v>1202</v>
      </c>
      <c r="C3" s="109" t="s">
        <v>1246</v>
      </c>
      <c r="D3" s="240">
        <v>288</v>
      </c>
      <c r="E3" s="262">
        <v>7200</v>
      </c>
      <c r="F3" s="240"/>
      <c r="G3" s="240"/>
      <c r="H3" s="320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2">
        <f>X3-T3</f>
        <v>0</v>
      </c>
      <c r="Z3" s="282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3">
        <f>SUMIFS(' 2. FTE Workload'!$E$3:$E$323,' 2. FTE Workload'!$A$3:$A$323,'4. Workload by Activity'!Q3)</f>
        <v>8490.5</v>
      </c>
      <c r="AD3" s="282">
        <f>AC3-V3</f>
        <v>0</v>
      </c>
      <c r="AE3" s="79">
        <f>SUMIFS(' 1.  Office Cap. &amp; Workload'!$M$3:$M$22,' 1.  Office Cap. &amp; Workload'!$A$3:$A$22,'4. Workload by Activity'!Q3)</f>
        <v>8490.5</v>
      </c>
      <c r="AF3" s="282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2">
        <f>AH3-AG3</f>
        <v>0</v>
      </c>
    </row>
    <row r="4" spans="1:35" ht="20.45" customHeight="1">
      <c r="A4" s="37" t="s">
        <v>2</v>
      </c>
      <c r="B4" s="38" t="s">
        <v>1202</v>
      </c>
      <c r="C4" s="109" t="s">
        <v>1245</v>
      </c>
      <c r="D4" s="240">
        <v>290</v>
      </c>
      <c r="E4" s="262">
        <v>5510</v>
      </c>
      <c r="F4" s="240"/>
      <c r="G4" s="240"/>
      <c r="H4" s="320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2">
        <f t="shared" ref="Y4:Y6" si="5">X4-T4</f>
        <v>0</v>
      </c>
      <c r="Z4" s="282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3">
        <f>SUMIFS(' 2. FTE Workload'!$E$3:$E$323,' 2. FTE Workload'!$A$3:$A$323,'4. Workload by Activity'!Q4)</f>
        <v>17267.700000000012</v>
      </c>
      <c r="AD4" s="282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2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1202</v>
      </c>
      <c r="C5" s="109" t="s">
        <v>1248</v>
      </c>
      <c r="D5" s="240">
        <v>246</v>
      </c>
      <c r="E5" s="262">
        <v>6642</v>
      </c>
      <c r="F5" s="240"/>
      <c r="G5" s="240"/>
      <c r="H5" s="320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32213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12462.4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2">
        <f t="shared" si="5"/>
        <v>0</v>
      </c>
      <c r="Z5" s="282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3">
        <f>SUMIFS(' 2. FTE Workload'!$E$3:$E$323,' 2. FTE Workload'!$A$3:$A$323,'4. Workload by Activity'!Q5)</f>
        <v>12461.316666666669</v>
      </c>
      <c r="AD5" s="282">
        <f t="shared" si="8"/>
        <v>-1.0833333333303017</v>
      </c>
      <c r="AE5" s="79">
        <f>SUMIFS(' 1.  Office Cap. &amp; Workload'!$M$3:$M$22,' 1.  Office Cap. &amp; Workload'!$A$3:$A$22,'4. Workload by Activity'!Q5)</f>
        <v>12461.316666666666</v>
      </c>
      <c r="AF5" s="282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1202</v>
      </c>
      <c r="C6" s="109" t="s">
        <v>1247</v>
      </c>
      <c r="D6" s="240">
        <v>134</v>
      </c>
      <c r="E6" s="262">
        <v>2546</v>
      </c>
      <c r="F6" s="240">
        <v>1</v>
      </c>
      <c r="G6" s="240">
        <v>10</v>
      </c>
      <c r="H6" s="320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2">
        <f t="shared" si="5"/>
        <v>0</v>
      </c>
      <c r="Z6" s="282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3">
        <f>SUMIFS(' 2. FTE Workload'!$E$3:$E$323,' 2. FTE Workload'!$A$3:$A$323,'4. Workload by Activity'!Q6)</f>
        <v>13670.182876309569</v>
      </c>
      <c r="AD6" s="282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2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1202</v>
      </c>
      <c r="C7" s="109" t="s">
        <v>1249</v>
      </c>
      <c r="D7" s="240">
        <v>1959</v>
      </c>
      <c r="E7" s="262">
        <v>29385</v>
      </c>
      <c r="F7" s="240">
        <v>148</v>
      </c>
      <c r="G7" s="240">
        <v>1480</v>
      </c>
      <c r="H7" s="320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1202</v>
      </c>
      <c r="C8" s="109" t="s">
        <v>1250</v>
      </c>
      <c r="D8" s="240">
        <v>1589</v>
      </c>
      <c r="E8" s="262">
        <v>41466</v>
      </c>
      <c r="F8" s="240"/>
      <c r="G8" s="240"/>
      <c r="H8" s="320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1202</v>
      </c>
      <c r="C9" s="109" t="s">
        <v>1251</v>
      </c>
      <c r="D9" s="240">
        <v>170</v>
      </c>
      <c r="E9" s="262">
        <v>2380</v>
      </c>
      <c r="F9" s="240"/>
      <c r="G9" s="240"/>
      <c r="H9" s="320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1203</v>
      </c>
      <c r="C10" s="109" t="s">
        <v>1246</v>
      </c>
      <c r="D10" s="242">
        <v>271</v>
      </c>
      <c r="E10" s="262">
        <v>6775</v>
      </c>
      <c r="F10" s="242"/>
      <c r="G10" s="242"/>
      <c r="H10" s="320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1203</v>
      </c>
      <c r="C11" s="109" t="s">
        <v>1245</v>
      </c>
      <c r="D11" s="242">
        <v>211</v>
      </c>
      <c r="E11" s="262">
        <v>4009</v>
      </c>
      <c r="F11" s="242"/>
      <c r="G11" s="242"/>
      <c r="H11" s="320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1203</v>
      </c>
      <c r="C12" s="109" t="s">
        <v>1248</v>
      </c>
      <c r="D12" s="242">
        <v>208</v>
      </c>
      <c r="E12" s="262">
        <v>5616</v>
      </c>
      <c r="F12" s="242"/>
      <c r="G12" s="242"/>
      <c r="H12" s="320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1203</v>
      </c>
      <c r="C13" s="109" t="s">
        <v>1247</v>
      </c>
      <c r="D13" s="242">
        <v>129</v>
      </c>
      <c r="E13" s="262">
        <v>2451</v>
      </c>
      <c r="F13" s="242"/>
      <c r="G13" s="242"/>
      <c r="H13" s="320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1203</v>
      </c>
      <c r="C14" s="109" t="s">
        <v>1249</v>
      </c>
      <c r="D14" s="242">
        <v>1978</v>
      </c>
      <c r="E14" s="262">
        <v>29670</v>
      </c>
      <c r="F14" s="242">
        <v>95</v>
      </c>
      <c r="G14" s="242">
        <v>950</v>
      </c>
      <c r="H14" s="320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1203</v>
      </c>
      <c r="C15" s="109" t="s">
        <v>1250</v>
      </c>
      <c r="D15" s="242">
        <v>1413</v>
      </c>
      <c r="E15" s="262">
        <v>35527</v>
      </c>
      <c r="F15" s="242"/>
      <c r="G15" s="242"/>
      <c r="H15" s="320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1203</v>
      </c>
      <c r="C16" s="109" t="s">
        <v>1251</v>
      </c>
      <c r="D16" s="242">
        <v>175</v>
      </c>
      <c r="E16" s="262">
        <v>2450</v>
      </c>
      <c r="F16" s="242"/>
      <c r="G16" s="242"/>
      <c r="H16" s="320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1204</v>
      </c>
      <c r="C17" s="109" t="s">
        <v>1246</v>
      </c>
      <c r="D17" s="242">
        <v>408</v>
      </c>
      <c r="E17" s="262">
        <v>10200</v>
      </c>
      <c r="F17" s="242"/>
      <c r="G17" s="242"/>
      <c r="H17" s="320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1204</v>
      </c>
      <c r="C18" s="109" t="s">
        <v>1245</v>
      </c>
      <c r="D18" s="242">
        <v>239</v>
      </c>
      <c r="E18" s="262">
        <v>4541</v>
      </c>
      <c r="F18" s="242"/>
      <c r="G18" s="242"/>
      <c r="H18" s="320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1204</v>
      </c>
      <c r="C19" s="109" t="s">
        <v>1248</v>
      </c>
      <c r="D19" s="242">
        <v>215</v>
      </c>
      <c r="E19" s="262">
        <v>5805</v>
      </c>
      <c r="F19" s="242"/>
      <c r="G19" s="242"/>
      <c r="H19" s="320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1204</v>
      </c>
      <c r="C20" s="109" t="s">
        <v>1247</v>
      </c>
      <c r="D20" s="242">
        <v>141</v>
      </c>
      <c r="E20" s="262">
        <v>2679</v>
      </c>
      <c r="F20" s="242"/>
      <c r="G20" s="242"/>
      <c r="H20" s="320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1204</v>
      </c>
      <c r="C21" s="109" t="s">
        <v>1249</v>
      </c>
      <c r="D21" s="242">
        <v>2174</v>
      </c>
      <c r="E21" s="262">
        <v>32610</v>
      </c>
      <c r="F21" s="242">
        <v>90</v>
      </c>
      <c r="G21" s="242">
        <v>900</v>
      </c>
      <c r="H21" s="320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1204</v>
      </c>
      <c r="C22" s="109" t="s">
        <v>1250</v>
      </c>
      <c r="D22" s="242">
        <v>1619</v>
      </c>
      <c r="E22" s="262">
        <v>40596</v>
      </c>
      <c r="F22" s="242"/>
      <c r="G22" s="242"/>
      <c r="H22" s="320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1204</v>
      </c>
      <c r="C23" s="109" t="s">
        <v>1251</v>
      </c>
      <c r="D23" s="242">
        <v>200</v>
      </c>
      <c r="E23" s="262">
        <v>2800</v>
      </c>
      <c r="F23" s="242"/>
      <c r="G23" s="242"/>
      <c r="H23" s="320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1205</v>
      </c>
      <c r="C24" s="109" t="s">
        <v>1246</v>
      </c>
      <c r="D24" s="242">
        <v>390</v>
      </c>
      <c r="E24" s="262">
        <v>9750</v>
      </c>
      <c r="F24" s="242"/>
      <c r="G24" s="242"/>
      <c r="H24" s="320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1205</v>
      </c>
      <c r="C25" s="109" t="s">
        <v>1245</v>
      </c>
      <c r="D25" s="242">
        <v>252</v>
      </c>
      <c r="E25" s="262">
        <v>4788</v>
      </c>
      <c r="F25" s="242"/>
      <c r="G25" s="242"/>
      <c r="H25" s="320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1205</v>
      </c>
      <c r="C26" s="109" t="s">
        <v>1248</v>
      </c>
      <c r="D26" s="242">
        <v>177</v>
      </c>
      <c r="E26" s="262">
        <v>4779</v>
      </c>
      <c r="F26" s="242"/>
      <c r="G26" s="242"/>
      <c r="H26" s="320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1205</v>
      </c>
      <c r="C27" s="109" t="s">
        <v>1247</v>
      </c>
      <c r="D27" s="242">
        <v>138</v>
      </c>
      <c r="E27" s="262">
        <v>2622</v>
      </c>
      <c r="F27" s="242">
        <v>1</v>
      </c>
      <c r="G27" s="242">
        <v>10</v>
      </c>
      <c r="H27" s="320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1205</v>
      </c>
      <c r="C28" s="109" t="s">
        <v>1249</v>
      </c>
      <c r="D28" s="242">
        <v>2356</v>
      </c>
      <c r="E28" s="262">
        <v>35340</v>
      </c>
      <c r="F28" s="242">
        <v>104</v>
      </c>
      <c r="G28" s="242">
        <v>1040</v>
      </c>
      <c r="H28" s="320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1205</v>
      </c>
      <c r="C29" s="109" t="s">
        <v>1250</v>
      </c>
      <c r="D29" s="242">
        <v>1627</v>
      </c>
      <c r="E29" s="262">
        <v>40844</v>
      </c>
      <c r="F29" s="242"/>
      <c r="G29" s="242"/>
      <c r="H29" s="320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1205</v>
      </c>
      <c r="C30" s="109" t="s">
        <v>1251</v>
      </c>
      <c r="D30" s="242">
        <v>198</v>
      </c>
      <c r="E30" s="262">
        <v>2772</v>
      </c>
      <c r="F30" s="242"/>
      <c r="G30" s="242"/>
      <c r="H30" s="320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1762</v>
      </c>
      <c r="C31" s="243" t="s">
        <v>1246</v>
      </c>
      <c r="D31" s="240">
        <v>340</v>
      </c>
      <c r="E31" s="13">
        <v>8500</v>
      </c>
      <c r="F31" s="240"/>
      <c r="G31" s="244"/>
      <c r="H31" s="320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1762</v>
      </c>
      <c r="C32" s="243" t="s">
        <v>1245</v>
      </c>
      <c r="D32" s="240">
        <v>237</v>
      </c>
      <c r="E32" s="13">
        <v>4503</v>
      </c>
      <c r="F32" s="240"/>
      <c r="G32" s="240"/>
      <c r="H32" s="320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1762</v>
      </c>
      <c r="C33" s="243" t="s">
        <v>1248</v>
      </c>
      <c r="D33" s="240">
        <v>232</v>
      </c>
      <c r="E33" s="13">
        <v>6264</v>
      </c>
      <c r="F33" s="240"/>
      <c r="G33" s="240"/>
      <c r="H33" s="320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1762</v>
      </c>
      <c r="C34" s="243" t="s">
        <v>1247</v>
      </c>
      <c r="D34" s="240">
        <v>138</v>
      </c>
      <c r="E34" s="13">
        <v>2622</v>
      </c>
      <c r="F34" s="240"/>
      <c r="G34" s="240"/>
      <c r="H34" s="320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1762</v>
      </c>
      <c r="C35" s="243" t="s">
        <v>1249</v>
      </c>
      <c r="D35" s="240">
        <v>2206</v>
      </c>
      <c r="E35" s="13">
        <v>33090</v>
      </c>
      <c r="F35" s="240">
        <v>105</v>
      </c>
      <c r="G35" s="240">
        <v>1050</v>
      </c>
      <c r="H35" s="320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1762</v>
      </c>
      <c r="C36" s="243" t="s">
        <v>1250</v>
      </c>
      <c r="D36" s="240">
        <v>1494</v>
      </c>
      <c r="E36" s="13">
        <v>37475</v>
      </c>
      <c r="F36" s="240">
        <v>2</v>
      </c>
      <c r="G36" s="240">
        <v>60</v>
      </c>
      <c r="H36" s="320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1762</v>
      </c>
      <c r="C37" s="243" t="s">
        <v>1251</v>
      </c>
      <c r="D37" s="240">
        <v>168</v>
      </c>
      <c r="E37" s="13">
        <v>2352</v>
      </c>
      <c r="F37" s="240"/>
      <c r="G37" s="245"/>
      <c r="H37" s="320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1202</v>
      </c>
      <c r="C38" s="211" t="s">
        <v>1246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1202</v>
      </c>
      <c r="C39" s="211" t="s">
        <v>1245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1202</v>
      </c>
      <c r="C40" s="211" t="s">
        <v>1248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1202</v>
      </c>
      <c r="C41" s="211" t="s">
        <v>1247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1202</v>
      </c>
      <c r="C42" s="211" t="s">
        <v>1746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1202</v>
      </c>
      <c r="C43" s="211" t="s">
        <v>1747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1202</v>
      </c>
      <c r="C44" s="211" t="s">
        <v>1748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1203</v>
      </c>
      <c r="C45" s="211" t="s">
        <v>1246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1203</v>
      </c>
      <c r="C46" s="211" t="s">
        <v>1245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1203</v>
      </c>
      <c r="C47" s="211" t="s">
        <v>1248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1203</v>
      </c>
      <c r="C48" s="211" t="s">
        <v>1247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1203</v>
      </c>
      <c r="C49" s="211" t="s">
        <v>1746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1203</v>
      </c>
      <c r="C50" s="211" t="s">
        <v>1747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1203</v>
      </c>
      <c r="C51" s="211" t="s">
        <v>1748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1204</v>
      </c>
      <c r="C52" s="211" t="s">
        <v>1749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1204</v>
      </c>
      <c r="C53" s="211" t="s">
        <v>1750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1204</v>
      </c>
      <c r="C54" s="211" t="s">
        <v>1751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1204</v>
      </c>
      <c r="C55" s="211" t="s">
        <v>1752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1204</v>
      </c>
      <c r="C56" s="211" t="s">
        <v>1746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1204</v>
      </c>
      <c r="C57" s="211" t="s">
        <v>1747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1204</v>
      </c>
      <c r="C58" s="211" t="s">
        <v>1748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1205</v>
      </c>
      <c r="C59" s="211" t="s">
        <v>1749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1205</v>
      </c>
      <c r="C60" s="211" t="s">
        <v>1750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1205</v>
      </c>
      <c r="C61" s="211" t="s">
        <v>1751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1205</v>
      </c>
      <c r="C62" s="211" t="s">
        <v>1752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1205</v>
      </c>
      <c r="C63" s="211" t="s">
        <v>1746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1205</v>
      </c>
      <c r="C64" s="211" t="s">
        <v>1747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1205</v>
      </c>
      <c r="C65" s="211" t="s">
        <v>1748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1762</v>
      </c>
      <c r="C66" s="211" t="s">
        <v>1246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1762</v>
      </c>
      <c r="C67" s="211" t="s">
        <v>1245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1762</v>
      </c>
      <c r="C68" s="211" t="s">
        <v>1248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1762</v>
      </c>
      <c r="C69" s="211" t="s">
        <v>1247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1762</v>
      </c>
      <c r="C70" s="211" t="s">
        <v>1249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1762</v>
      </c>
      <c r="C71" s="211" t="s">
        <v>1250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1762</v>
      </c>
      <c r="C72" s="211" t="s">
        <v>1251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1202</v>
      </c>
      <c r="C73" s="165" t="s">
        <v>1246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93"/>
      <c r="Q73" s="293"/>
    </row>
    <row r="74" spans="1:17">
      <c r="A74" s="164" t="s">
        <v>4</v>
      </c>
      <c r="B74" s="164" t="s">
        <v>1202</v>
      </c>
      <c r="C74" s="165" t="s">
        <v>1245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94">
        <f>O74+O81+O88+O95+O102</f>
        <v>634.26666666666665</v>
      </c>
      <c r="Q74" s="293"/>
    </row>
    <row r="75" spans="1:17">
      <c r="A75" s="164" t="s">
        <v>4</v>
      </c>
      <c r="B75" s="164" t="s">
        <v>1202</v>
      </c>
      <c r="C75" s="165" t="s">
        <v>1248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94"/>
      <c r="Q75" s="293"/>
    </row>
    <row r="76" spans="1:17">
      <c r="A76" s="164" t="s">
        <v>4</v>
      </c>
      <c r="B76" s="164" t="s">
        <v>1202</v>
      </c>
      <c r="C76" s="165" t="s">
        <v>1247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94"/>
      <c r="Q76" s="293"/>
    </row>
    <row r="77" spans="1:17">
      <c r="A77" s="164" t="s">
        <v>4</v>
      </c>
      <c r="B77" s="164" t="s">
        <v>1202</v>
      </c>
      <c r="C77" s="172" t="s">
        <v>1249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94"/>
      <c r="Q77" s="293"/>
    </row>
    <row r="78" spans="1:17">
      <c r="A78" s="164" t="s">
        <v>4</v>
      </c>
      <c r="B78" s="164" t="s">
        <v>1202</v>
      </c>
      <c r="C78" s="172" t="s">
        <v>1250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94"/>
      <c r="Q78" s="293"/>
    </row>
    <row r="79" spans="1:17">
      <c r="A79" s="164" t="s">
        <v>4</v>
      </c>
      <c r="B79" s="164" t="s">
        <v>1202</v>
      </c>
      <c r="C79" s="172" t="s">
        <v>1251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94"/>
      <c r="Q79" s="293"/>
    </row>
    <row r="80" spans="1:17">
      <c r="A80" s="175" t="s">
        <v>4</v>
      </c>
      <c r="B80" s="175" t="s">
        <v>1203</v>
      </c>
      <c r="C80" s="176" t="s">
        <v>1246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93"/>
    </row>
    <row r="81" spans="1:17">
      <c r="A81" s="175" t="s">
        <v>4</v>
      </c>
      <c r="B81" s="175" t="s">
        <v>1203</v>
      </c>
      <c r="C81" s="176" t="s">
        <v>1245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93"/>
    </row>
    <row r="82" spans="1:17">
      <c r="A82" s="175" t="s">
        <v>4</v>
      </c>
      <c r="B82" s="175" t="s">
        <v>1203</v>
      </c>
      <c r="C82" s="176" t="s">
        <v>1248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93"/>
    </row>
    <row r="83" spans="1:17">
      <c r="A83" s="175" t="s">
        <v>4</v>
      </c>
      <c r="B83" s="175" t="s">
        <v>1203</v>
      </c>
      <c r="C83" s="176" t="s">
        <v>1247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93"/>
    </row>
    <row r="84" spans="1:17">
      <c r="A84" s="175" t="s">
        <v>4</v>
      </c>
      <c r="B84" s="175" t="s">
        <v>1203</v>
      </c>
      <c r="C84" s="183" t="s">
        <v>1249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93"/>
    </row>
    <row r="85" spans="1:17">
      <c r="A85" s="175" t="s">
        <v>4</v>
      </c>
      <c r="B85" s="175" t="s">
        <v>1203</v>
      </c>
      <c r="C85" s="183" t="s">
        <v>1250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93"/>
    </row>
    <row r="86" spans="1:17">
      <c r="A86" s="175" t="s">
        <v>4</v>
      </c>
      <c r="B86" s="175" t="s">
        <v>1203</v>
      </c>
      <c r="C86" s="183" t="s">
        <v>1251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93"/>
    </row>
    <row r="87" spans="1:17">
      <c r="A87" s="185" t="s">
        <v>4</v>
      </c>
      <c r="B87" s="185" t="s">
        <v>1204</v>
      </c>
      <c r="C87" s="186" t="s">
        <v>1246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93"/>
    </row>
    <row r="88" spans="1:17">
      <c r="A88" s="185" t="s">
        <v>4</v>
      </c>
      <c r="B88" s="185" t="s">
        <v>1204</v>
      </c>
      <c r="C88" s="186" t="s">
        <v>1245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93"/>
    </row>
    <row r="89" spans="1:17">
      <c r="A89" s="185" t="s">
        <v>4</v>
      </c>
      <c r="B89" s="185" t="s">
        <v>1204</v>
      </c>
      <c r="C89" s="186" t="s">
        <v>1248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93"/>
    </row>
    <row r="90" spans="1:17">
      <c r="A90" s="185" t="s">
        <v>4</v>
      </c>
      <c r="B90" s="185" t="s">
        <v>1204</v>
      </c>
      <c r="C90" s="186" t="s">
        <v>1247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93"/>
    </row>
    <row r="91" spans="1:17">
      <c r="A91" s="185" t="s">
        <v>4</v>
      </c>
      <c r="B91" s="185" t="s">
        <v>1204</v>
      </c>
      <c r="C91" s="186" t="s">
        <v>1249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93"/>
    </row>
    <row r="92" spans="1:17">
      <c r="A92" s="185" t="s">
        <v>4</v>
      </c>
      <c r="B92" s="185" t="s">
        <v>1204</v>
      </c>
      <c r="C92" s="186" t="s">
        <v>1250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93"/>
    </row>
    <row r="93" spans="1:17">
      <c r="A93" s="185" t="s">
        <v>4</v>
      </c>
      <c r="B93" s="185" t="s">
        <v>1204</v>
      </c>
      <c r="C93" s="186" t="s">
        <v>1251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93"/>
    </row>
    <row r="94" spans="1:17">
      <c r="A94" s="175" t="s">
        <v>4</v>
      </c>
      <c r="B94" s="175" t="s">
        <v>1205</v>
      </c>
      <c r="C94" s="183" t="s">
        <v>1246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93"/>
    </row>
    <row r="95" spans="1:17">
      <c r="A95" s="175" t="s">
        <v>4</v>
      </c>
      <c r="B95" s="175" t="s">
        <v>1205</v>
      </c>
      <c r="C95" s="183" t="s">
        <v>1245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93"/>
    </row>
    <row r="96" spans="1:17">
      <c r="A96" s="175" t="s">
        <v>4</v>
      </c>
      <c r="B96" s="175" t="s">
        <v>1205</v>
      </c>
      <c r="C96" s="183" t="s">
        <v>1248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93"/>
    </row>
    <row r="97" spans="1:17">
      <c r="A97" s="175" t="s">
        <v>4</v>
      </c>
      <c r="B97" s="175" t="s">
        <v>1205</v>
      </c>
      <c r="C97" s="183" t="s">
        <v>1247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93"/>
    </row>
    <row r="98" spans="1:17">
      <c r="A98" s="175" t="s">
        <v>4</v>
      </c>
      <c r="B98" s="175" t="s">
        <v>1205</v>
      </c>
      <c r="C98" s="183" t="s">
        <v>1249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93"/>
    </row>
    <row r="99" spans="1:17">
      <c r="A99" s="175" t="s">
        <v>4</v>
      </c>
      <c r="B99" s="175" t="s">
        <v>1205</v>
      </c>
      <c r="C99" s="183" t="s">
        <v>1250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93"/>
    </row>
    <row r="100" spans="1:17">
      <c r="A100" s="175" t="s">
        <v>4</v>
      </c>
      <c r="B100" s="175" t="s">
        <v>1205</v>
      </c>
      <c r="C100" s="183" t="s">
        <v>1251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93"/>
    </row>
    <row r="101" spans="1:17">
      <c r="A101" s="268" t="s">
        <v>4</v>
      </c>
      <c r="B101" s="268" t="s">
        <v>1762</v>
      </c>
      <c r="C101" s="269" t="s">
        <v>1246</v>
      </c>
      <c r="D101" s="270">
        <v>631</v>
      </c>
      <c r="E101" s="166">
        <v>15775</v>
      </c>
      <c r="F101" s="270">
        <v>0</v>
      </c>
      <c r="G101" s="270">
        <v>0</v>
      </c>
      <c r="H101" s="270">
        <v>8</v>
      </c>
      <c r="I101" s="268">
        <v>70</v>
      </c>
      <c r="J101" s="270">
        <v>6</v>
      </c>
      <c r="K101" s="270">
        <v>105</v>
      </c>
      <c r="L101" s="271">
        <f t="shared" si="14"/>
        <v>15950</v>
      </c>
      <c r="M101" s="272">
        <f t="shared" si="13"/>
        <v>0.10020354827360908</v>
      </c>
      <c r="N101" s="273">
        <f t="shared" si="15"/>
        <v>1.7034603206513543</v>
      </c>
      <c r="O101" s="207">
        <f t="shared" si="12"/>
        <v>265.83333333333331</v>
      </c>
      <c r="P101" s="207"/>
      <c r="Q101" s="293"/>
    </row>
    <row r="102" spans="1:17">
      <c r="A102" s="268" t="s">
        <v>4</v>
      </c>
      <c r="B102" s="268" t="s">
        <v>1762</v>
      </c>
      <c r="C102" s="269" t="s">
        <v>1245</v>
      </c>
      <c r="D102" s="270">
        <v>349</v>
      </c>
      <c r="E102" s="166">
        <v>6631</v>
      </c>
      <c r="F102" s="270">
        <v>0</v>
      </c>
      <c r="G102" s="270">
        <v>0</v>
      </c>
      <c r="H102" s="270">
        <v>1</v>
      </c>
      <c r="I102" s="268">
        <v>10</v>
      </c>
      <c r="J102" s="270">
        <v>52</v>
      </c>
      <c r="K102" s="270">
        <v>1065</v>
      </c>
      <c r="L102" s="271">
        <f t="shared" si="14"/>
        <v>7706</v>
      </c>
      <c r="M102" s="272">
        <f t="shared" si="13"/>
        <v>4.8411820877519225E-2</v>
      </c>
      <c r="N102" s="273">
        <f t="shared" si="15"/>
        <v>0.82300095491782688</v>
      </c>
      <c r="O102" s="207">
        <f t="shared" si="12"/>
        <v>128.43333333333334</v>
      </c>
      <c r="Q102" s="293"/>
    </row>
    <row r="103" spans="1:17">
      <c r="A103" s="268" t="s">
        <v>4</v>
      </c>
      <c r="B103" s="268" t="s">
        <v>1762</v>
      </c>
      <c r="C103" s="269" t="s">
        <v>1248</v>
      </c>
      <c r="D103" s="270">
        <v>703</v>
      </c>
      <c r="E103" s="166">
        <v>18981</v>
      </c>
      <c r="F103" s="270">
        <v>10</v>
      </c>
      <c r="G103" s="270">
        <v>170</v>
      </c>
      <c r="H103" s="270">
        <v>46</v>
      </c>
      <c r="I103" s="268">
        <v>745</v>
      </c>
      <c r="J103" s="270">
        <v>102</v>
      </c>
      <c r="K103" s="270">
        <v>1675</v>
      </c>
      <c r="L103" s="271">
        <f t="shared" si="14"/>
        <v>21571</v>
      </c>
      <c r="M103" s="272">
        <f t="shared" si="13"/>
        <v>0.13551666080313615</v>
      </c>
      <c r="N103" s="273">
        <f t="shared" si="15"/>
        <v>2.3037832336533146</v>
      </c>
      <c r="O103" s="207">
        <f t="shared" si="12"/>
        <v>359.51666666666665</v>
      </c>
      <c r="Q103" s="293"/>
    </row>
    <row r="104" spans="1:17">
      <c r="A104" s="268" t="s">
        <v>4</v>
      </c>
      <c r="B104" s="268" t="s">
        <v>1762</v>
      </c>
      <c r="C104" s="269" t="s">
        <v>1247</v>
      </c>
      <c r="D104" s="270">
        <v>140</v>
      </c>
      <c r="E104" s="166">
        <v>2660</v>
      </c>
      <c r="F104" s="270">
        <v>11</v>
      </c>
      <c r="G104" s="270">
        <v>220</v>
      </c>
      <c r="H104" s="270">
        <v>24</v>
      </c>
      <c r="I104" s="268">
        <v>190</v>
      </c>
      <c r="J104" s="270">
        <v>20</v>
      </c>
      <c r="K104" s="270">
        <v>360</v>
      </c>
      <c r="L104" s="271">
        <f t="shared" si="14"/>
        <v>3430</v>
      </c>
      <c r="M104" s="272">
        <f t="shared" si="13"/>
        <v>2.1548474644418756E-2</v>
      </c>
      <c r="N104" s="273">
        <f t="shared" si="15"/>
        <v>0.36632406895511888</v>
      </c>
      <c r="O104" s="207">
        <f t="shared" si="12"/>
        <v>57.166666666666664</v>
      </c>
      <c r="Q104" s="293"/>
    </row>
    <row r="105" spans="1:17">
      <c r="A105" s="268" t="s">
        <v>4</v>
      </c>
      <c r="B105" s="268" t="s">
        <v>1762</v>
      </c>
      <c r="C105" s="269" t="s">
        <v>1249</v>
      </c>
      <c r="D105" s="270">
        <v>2028</v>
      </c>
      <c r="E105" s="166">
        <v>30420</v>
      </c>
      <c r="F105" s="270">
        <v>49</v>
      </c>
      <c r="G105" s="270">
        <v>490</v>
      </c>
      <c r="H105" s="270">
        <v>21</v>
      </c>
      <c r="I105" s="268">
        <v>215</v>
      </c>
      <c r="J105" s="270">
        <v>33</v>
      </c>
      <c r="K105" s="270">
        <v>710</v>
      </c>
      <c r="L105" s="271">
        <f t="shared" si="14"/>
        <v>31835</v>
      </c>
      <c r="M105" s="272">
        <f t="shared" si="13"/>
        <v>0.19999874352917527</v>
      </c>
      <c r="N105" s="273">
        <f t="shared" si="15"/>
        <v>3.3999786399959797</v>
      </c>
      <c r="O105" s="207">
        <f t="shared" si="12"/>
        <v>530.58333333333337</v>
      </c>
      <c r="Q105" s="293"/>
    </row>
    <row r="106" spans="1:17">
      <c r="A106" s="268" t="s">
        <v>4</v>
      </c>
      <c r="B106" s="268" t="s">
        <v>1762</v>
      </c>
      <c r="C106" s="269" t="s">
        <v>1250</v>
      </c>
      <c r="D106" s="270">
        <v>2819</v>
      </c>
      <c r="E106" s="166">
        <v>70475</v>
      </c>
      <c r="F106" s="270">
        <v>1</v>
      </c>
      <c r="G106" s="270">
        <v>30</v>
      </c>
      <c r="H106" s="270">
        <v>278</v>
      </c>
      <c r="I106" s="268">
        <v>2525</v>
      </c>
      <c r="J106" s="270">
        <v>60</v>
      </c>
      <c r="K106" s="270">
        <v>1650</v>
      </c>
      <c r="L106" s="271">
        <f t="shared" si="14"/>
        <v>74680</v>
      </c>
      <c r="M106" s="272">
        <f t="shared" si="13"/>
        <v>0.46916620596069758</v>
      </c>
      <c r="N106" s="273">
        <f t="shared" si="15"/>
        <v>7.9758255013318591</v>
      </c>
      <c r="O106" s="207">
        <f t="shared" si="12"/>
        <v>1244.6666666666667</v>
      </c>
      <c r="Q106" s="293"/>
    </row>
    <row r="107" spans="1:17">
      <c r="A107" s="268" t="s">
        <v>4</v>
      </c>
      <c r="B107" s="268" t="s">
        <v>1762</v>
      </c>
      <c r="C107" s="269" t="s">
        <v>1251</v>
      </c>
      <c r="D107" s="270">
        <v>286</v>
      </c>
      <c r="E107" s="166">
        <v>4004</v>
      </c>
      <c r="F107" s="270">
        <v>0</v>
      </c>
      <c r="G107" s="270">
        <v>0</v>
      </c>
      <c r="H107" s="270">
        <v>0</v>
      </c>
      <c r="I107" s="268">
        <v>0</v>
      </c>
      <c r="J107" s="270">
        <v>0</v>
      </c>
      <c r="K107" s="270">
        <v>0</v>
      </c>
      <c r="L107" s="271">
        <f t="shared" si="14"/>
        <v>4004</v>
      </c>
      <c r="M107" s="272">
        <f t="shared" si="13"/>
        <v>2.5154545911443935E-2</v>
      </c>
      <c r="N107" s="273">
        <f t="shared" si="15"/>
        <v>0.4276272804945469</v>
      </c>
      <c r="O107" s="207">
        <f t="shared" si="12"/>
        <v>66.733333333333334</v>
      </c>
      <c r="Q107" s="293"/>
    </row>
    <row r="108" spans="1:17">
      <c r="A108" s="37" t="s">
        <v>3</v>
      </c>
      <c r="B108" s="37" t="s">
        <v>1202</v>
      </c>
      <c r="C108" s="84" t="s">
        <v>1246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1202</v>
      </c>
      <c r="C109" s="84" t="s">
        <v>1245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1202</v>
      </c>
      <c r="C110" s="84" t="s">
        <v>1248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1202</v>
      </c>
      <c r="C111" s="84" t="s">
        <v>1247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1202</v>
      </c>
      <c r="C112" s="87" t="s">
        <v>1249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1202</v>
      </c>
      <c r="C113" s="87" t="s">
        <v>1250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1202</v>
      </c>
      <c r="C114" s="87" t="s">
        <v>1251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1203</v>
      </c>
      <c r="C115" s="84" t="s">
        <v>1246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1203</v>
      </c>
      <c r="C116" s="84" t="s">
        <v>1245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1203</v>
      </c>
      <c r="C117" s="84" t="s">
        <v>1248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1203</v>
      </c>
      <c r="C118" s="84" t="s">
        <v>1247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1203</v>
      </c>
      <c r="C119" s="87" t="s">
        <v>1249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1203</v>
      </c>
      <c r="C120" s="87" t="s">
        <v>1250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1203</v>
      </c>
      <c r="C121" s="87" t="s">
        <v>1251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1204</v>
      </c>
      <c r="C122" s="87" t="s">
        <v>1246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1204</v>
      </c>
      <c r="C123" s="87" t="s">
        <v>1245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1204</v>
      </c>
      <c r="C124" s="87" t="s">
        <v>1248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1204</v>
      </c>
      <c r="C125" s="87" t="s">
        <v>1247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1204</v>
      </c>
      <c r="C126" s="87" t="s">
        <v>1249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1204</v>
      </c>
      <c r="C127" s="87" t="s">
        <v>1250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1204</v>
      </c>
      <c r="C128" s="87" t="s">
        <v>1251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1205</v>
      </c>
      <c r="C129" s="87" t="s">
        <v>1246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1205</v>
      </c>
      <c r="C130" s="87" t="s">
        <v>1245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1205</v>
      </c>
      <c r="C131" s="87" t="s">
        <v>1248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1205</v>
      </c>
      <c r="C132" s="87" t="s">
        <v>1247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1205</v>
      </c>
      <c r="C133" s="87" t="s">
        <v>1249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1205</v>
      </c>
      <c r="C134" s="87" t="s">
        <v>1250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1205</v>
      </c>
      <c r="C135" s="87" t="s">
        <v>1251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1762</v>
      </c>
      <c r="C136" s="84" t="s">
        <v>1246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1762</v>
      </c>
      <c r="C137" s="84" t="s">
        <v>1245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1762</v>
      </c>
      <c r="C138" s="84" t="s">
        <v>1248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1762</v>
      </c>
      <c r="C139" s="84" t="s">
        <v>1247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1762</v>
      </c>
      <c r="C140" s="87" t="s">
        <v>1249</v>
      </c>
      <c r="D140" s="85">
        <v>3366</v>
      </c>
      <c r="E140" s="85">
        <v>50490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v>60360</v>
      </c>
      <c r="M140" s="101">
        <v>0.41862884488677743</v>
      </c>
      <c r="N140" s="86">
        <v>4.6049172937545517</v>
      </c>
      <c r="O140" s="207">
        <f t="shared" si="16"/>
        <v>1006</v>
      </c>
    </row>
    <row r="141" spans="1:15">
      <c r="A141" s="37" t="s">
        <v>3</v>
      </c>
      <c r="B141" s="37" t="s">
        <v>1762</v>
      </c>
      <c r="C141" s="87" t="s">
        <v>1250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1762</v>
      </c>
      <c r="C142" s="87" t="s">
        <v>1251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142" priority="88"/>
  </conditionalFormatting>
  <conditionalFormatting sqref="C3:C37">
    <cfRule type="duplicateValues" dxfId="141" priority="6"/>
  </conditionalFormatting>
  <conditionalFormatting sqref="C108:C142">
    <cfRule type="duplicateValues" dxfId="140" priority="2"/>
  </conditionalFormatting>
  <conditionalFormatting sqref="C73:C107">
    <cfRule type="duplicateValues" dxfId="13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304"/>
    <col min="2" max="2" width="12" style="304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30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1212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302" t="s">
        <v>1</v>
      </c>
      <c r="B38" s="306" t="s">
        <v>1311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303" t="s">
        <v>1</v>
      </c>
      <c r="B39" s="307" t="s">
        <v>1312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303" t="s">
        <v>1</v>
      </c>
      <c r="B40" s="307" t="s">
        <v>1314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303" t="s">
        <v>1</v>
      </c>
      <c r="B41" s="307" t="s">
        <v>1315</v>
      </c>
      <c r="C41" s="148">
        <v>3</v>
      </c>
      <c r="D41" s="148">
        <v>6</v>
      </c>
      <c r="E41" s="148">
        <v>6</v>
      </c>
      <c r="F41" s="148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303" t="s">
        <v>1</v>
      </c>
      <c r="B42" s="307" t="s">
        <v>1318</v>
      </c>
      <c r="C42" s="148" t="s">
        <v>1650</v>
      </c>
      <c r="D42" s="148" t="s">
        <v>1650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303" t="s">
        <v>1</v>
      </c>
      <c r="B43" s="307" t="s">
        <v>1321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303" t="s">
        <v>1</v>
      </c>
      <c r="B44" s="307" t="s">
        <v>1322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303" t="s">
        <v>1</v>
      </c>
      <c r="B45" s="307" t="s">
        <v>1651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303" t="s">
        <v>1</v>
      </c>
      <c r="B46" s="307" t="s">
        <v>1324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303" t="s">
        <v>1</v>
      </c>
      <c r="B47" s="307" t="s">
        <v>1652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303" t="s">
        <v>1</v>
      </c>
      <c r="B48" s="307" t="s">
        <v>1557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303" t="s">
        <v>1</v>
      </c>
      <c r="B49" s="307" t="s">
        <v>1313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303" t="s">
        <v>1</v>
      </c>
      <c r="B50" s="307" t="s">
        <v>1316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303" t="s">
        <v>1</v>
      </c>
      <c r="B51" s="307" t="s">
        <v>1253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303" t="s">
        <v>1</v>
      </c>
      <c r="B52" s="307" t="s">
        <v>1558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303" t="s">
        <v>1</v>
      </c>
      <c r="B53" s="307" t="s">
        <v>1317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303" t="s">
        <v>1</v>
      </c>
      <c r="B54" s="307" t="s">
        <v>1399</v>
      </c>
      <c r="C54" s="148">
        <v>1</v>
      </c>
      <c r="D54" s="148" t="s">
        <v>1650</v>
      </c>
      <c r="E54" s="148">
        <v>2</v>
      </c>
      <c r="F54" s="148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303" t="s">
        <v>1</v>
      </c>
      <c r="B55" s="307" t="s">
        <v>1653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303" t="s">
        <v>1</v>
      </c>
      <c r="B56" s="307" t="s">
        <v>1332</v>
      </c>
      <c r="C56" s="148" t="s">
        <v>1650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303" t="s">
        <v>1</v>
      </c>
      <c r="B57" s="307" t="s">
        <v>1654</v>
      </c>
      <c r="C57" s="148">
        <v>2</v>
      </c>
      <c r="D57" s="148" t="s">
        <v>1650</v>
      </c>
      <c r="E57" s="148" t="s">
        <v>1650</v>
      </c>
      <c r="F57" s="148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303" t="s">
        <v>1</v>
      </c>
      <c r="B58" s="307" t="s">
        <v>1334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303" t="s">
        <v>1</v>
      </c>
      <c r="B59" s="307" t="s">
        <v>1337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303" t="s">
        <v>1</v>
      </c>
      <c r="B60" s="307" t="s">
        <v>1335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303" t="s">
        <v>1</v>
      </c>
      <c r="B61" s="307" t="s">
        <v>1336</v>
      </c>
      <c r="C61" s="148">
        <v>1</v>
      </c>
      <c r="D61" s="148">
        <v>2</v>
      </c>
      <c r="E61" s="148" t="s">
        <v>1650</v>
      </c>
      <c r="F61" s="148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303" t="s">
        <v>1</v>
      </c>
      <c r="B62" s="307" t="s">
        <v>1341</v>
      </c>
      <c r="C62" s="148">
        <v>1</v>
      </c>
      <c r="D62" s="148">
        <v>1</v>
      </c>
      <c r="E62" s="148">
        <v>2</v>
      </c>
      <c r="F62" s="148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303" t="s">
        <v>1</v>
      </c>
      <c r="B63" s="307" t="s">
        <v>1338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303" t="s">
        <v>1</v>
      </c>
      <c r="B64" s="307" t="s">
        <v>1339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303" t="s">
        <v>1</v>
      </c>
      <c r="B65" s="307" t="s">
        <v>1340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303" t="s">
        <v>1</v>
      </c>
      <c r="B66" s="307" t="s">
        <v>1561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303" t="s">
        <v>1</v>
      </c>
      <c r="B67" s="307" t="s">
        <v>1319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303" t="s">
        <v>1</v>
      </c>
      <c r="B68" s="307" t="s">
        <v>1320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303" t="s">
        <v>1</v>
      </c>
      <c r="B69" s="307" t="s">
        <v>1562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303" t="s">
        <v>1</v>
      </c>
      <c r="B70" s="307" t="s">
        <v>1327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303" t="s">
        <v>1</v>
      </c>
      <c r="B71" s="307" t="s">
        <v>1655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1652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1324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1253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1651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1316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1317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1322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1817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1557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1313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1319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1321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1562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1320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1818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1556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1560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1325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1819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1820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1323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1821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1329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1331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1822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1823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1339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1338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1824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1341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1561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1825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1340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1326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1826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1827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1828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1829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1558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1830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1831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1832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1833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1834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1835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1315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1314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1836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1312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1837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1318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1311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1838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1839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1840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1841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1842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1843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1844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1845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1337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1334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1846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1333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1336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1847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1335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1848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1849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1559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1850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1400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1851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1328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1330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1852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1853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1332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1654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1327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1854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1855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1399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1856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1857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1858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1859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1860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1861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1862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1863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1864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1865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1866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1867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1868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1869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1870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1871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1872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1655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1873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1874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1653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1875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1876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1877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1878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1879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1880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1881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1882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1883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1884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1885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1886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1887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1213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1254</v>
      </c>
      <c r="C3" s="111" t="s">
        <v>1287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1255</v>
      </c>
      <c r="C4" s="111" t="s">
        <v>1288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1342</v>
      </c>
      <c r="C5" s="111" t="s">
        <v>1343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1344</v>
      </c>
      <c r="C6" s="111" t="s">
        <v>1345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1433</v>
      </c>
      <c r="C7" s="122" t="s">
        <v>1434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95" t="s">
        <v>1425</v>
      </c>
      <c r="C8" s="296" t="s">
        <v>1426</v>
      </c>
      <c r="D8" s="297">
        <v>2</v>
      </c>
      <c r="E8" s="297">
        <v>5</v>
      </c>
      <c r="F8" s="297">
        <v>3</v>
      </c>
      <c r="G8" s="297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8" t="s">
        <v>1</v>
      </c>
      <c r="B9" s="299" t="s">
        <v>1430</v>
      </c>
      <c r="C9" s="300" t="s">
        <v>1431</v>
      </c>
      <c r="D9" s="301">
        <v>2</v>
      </c>
      <c r="E9" s="301">
        <v>4</v>
      </c>
      <c r="F9" s="301">
        <v>1</v>
      </c>
      <c r="G9" s="301">
        <v>1</v>
      </c>
      <c r="H9" s="70" t="s">
        <v>1424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8" t="s">
        <v>1</v>
      </c>
      <c r="B10" s="299" t="s">
        <v>1254</v>
      </c>
      <c r="C10" s="300" t="s">
        <v>1287</v>
      </c>
      <c r="D10" s="301">
        <v>2</v>
      </c>
      <c r="E10" s="301">
        <v>2</v>
      </c>
      <c r="F10" s="301">
        <v>2</v>
      </c>
      <c r="G10" s="301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8" t="s">
        <v>1</v>
      </c>
      <c r="B11" s="299" t="s">
        <v>1346</v>
      </c>
      <c r="C11" s="300" t="s">
        <v>1347</v>
      </c>
      <c r="D11" s="301">
        <v>23</v>
      </c>
      <c r="E11" s="301">
        <v>26</v>
      </c>
      <c r="F11" s="301">
        <v>19</v>
      </c>
      <c r="G11" s="301">
        <v>21</v>
      </c>
      <c r="H11" s="70" t="s">
        <v>1424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8" t="s">
        <v>1</v>
      </c>
      <c r="B12" s="299" t="s">
        <v>1342</v>
      </c>
      <c r="C12" s="300" t="s">
        <v>1343</v>
      </c>
      <c r="D12" s="301">
        <v>66</v>
      </c>
      <c r="E12" s="301">
        <v>64</v>
      </c>
      <c r="F12" s="301">
        <v>64</v>
      </c>
      <c r="G12" s="301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8" t="s">
        <v>1</v>
      </c>
      <c r="B13" s="299" t="s">
        <v>1255</v>
      </c>
      <c r="C13" s="300" t="s">
        <v>1288</v>
      </c>
      <c r="D13" s="301">
        <v>1</v>
      </c>
      <c r="E13" s="301"/>
      <c r="F13" s="301"/>
      <c r="G13" s="301"/>
      <c r="H13" s="70" t="s">
        <v>1424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8" t="s">
        <v>1</v>
      </c>
      <c r="B14" s="299" t="s">
        <v>1427</v>
      </c>
      <c r="C14" s="300" t="s">
        <v>1428</v>
      </c>
      <c r="D14" s="301">
        <v>17</v>
      </c>
      <c r="E14" s="301">
        <v>11</v>
      </c>
      <c r="F14" s="301">
        <v>9</v>
      </c>
      <c r="G14" s="301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8" t="s">
        <v>1</v>
      </c>
      <c r="B15" s="299" t="s">
        <v>1429</v>
      </c>
      <c r="C15" s="300" t="s">
        <v>1345</v>
      </c>
      <c r="D15" s="301">
        <v>1</v>
      </c>
      <c r="E15" s="301">
        <v>4</v>
      </c>
      <c r="F15" s="301">
        <v>1</v>
      </c>
      <c r="G15" s="301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8" t="s">
        <v>1</v>
      </c>
      <c r="B16" s="299" t="s">
        <v>1344</v>
      </c>
      <c r="C16" s="300" t="s">
        <v>1345</v>
      </c>
      <c r="D16" s="301"/>
      <c r="E16" s="301">
        <v>1</v>
      </c>
      <c r="F16" s="301"/>
      <c r="G16" s="301"/>
      <c r="H16" s="70" t="s">
        <v>1424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8" t="s">
        <v>1</v>
      </c>
      <c r="B17" s="299" t="s">
        <v>1435</v>
      </c>
      <c r="C17" s="300" t="s">
        <v>1436</v>
      </c>
      <c r="D17" s="301">
        <v>74</v>
      </c>
      <c r="E17" s="301">
        <v>63</v>
      </c>
      <c r="F17" s="301">
        <v>38</v>
      </c>
      <c r="G17" s="301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8" t="s">
        <v>1</v>
      </c>
      <c r="B18" s="299" t="s">
        <v>1433</v>
      </c>
      <c r="C18" s="300" t="s">
        <v>1434</v>
      </c>
      <c r="D18" s="301">
        <v>160</v>
      </c>
      <c r="E18" s="301">
        <v>172</v>
      </c>
      <c r="F18" s="301">
        <v>155</v>
      </c>
      <c r="G18" s="301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8" t="s">
        <v>1</v>
      </c>
      <c r="B19" s="299" t="s">
        <v>1443</v>
      </c>
      <c r="C19" s="300" t="s">
        <v>1444</v>
      </c>
      <c r="D19" s="301">
        <v>2</v>
      </c>
      <c r="E19" s="301">
        <v>1</v>
      </c>
      <c r="F19" s="301">
        <v>4</v>
      </c>
      <c r="G19" s="301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8" t="s">
        <v>1</v>
      </c>
      <c r="B20" s="299" t="s">
        <v>1449</v>
      </c>
      <c r="C20" s="300" t="s">
        <v>1450</v>
      </c>
      <c r="D20" s="301">
        <v>13</v>
      </c>
      <c r="E20" s="301">
        <v>15</v>
      </c>
      <c r="F20" s="301">
        <v>12</v>
      </c>
      <c r="G20" s="301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1254</v>
      </c>
      <c r="C21" s="120" t="s">
        <v>1287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1425</v>
      </c>
      <c r="C22" s="121" t="s">
        <v>1426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1427</v>
      </c>
      <c r="C23" s="121" t="s">
        <v>1428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1255</v>
      </c>
      <c r="C24" s="120" t="s">
        <v>1288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1429</v>
      </c>
      <c r="C25" s="121" t="s">
        <v>1345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1430</v>
      </c>
      <c r="C26" s="121" t="s">
        <v>1431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1344</v>
      </c>
      <c r="C27" s="115" t="s">
        <v>1345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1432</v>
      </c>
      <c r="C28" s="115" t="s">
        <v>1431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1433</v>
      </c>
      <c r="C29" s="122" t="s">
        <v>1434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1342</v>
      </c>
      <c r="C30" s="118" t="s">
        <v>1343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1435</v>
      </c>
      <c r="C31" s="118" t="s">
        <v>1436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1437</v>
      </c>
      <c r="C32" s="122" t="s">
        <v>1438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1439</v>
      </c>
      <c r="C33" s="122" t="s">
        <v>1440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1441</v>
      </c>
      <c r="C34" s="122" t="s">
        <v>1442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1346</v>
      </c>
      <c r="C35" s="122" t="s">
        <v>1347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1443</v>
      </c>
      <c r="C36" s="122" t="s">
        <v>1444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1445</v>
      </c>
      <c r="C37" s="122" t="s">
        <v>1446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1447</v>
      </c>
      <c r="C38" s="122" t="s">
        <v>1448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1449</v>
      </c>
      <c r="C39" s="121" t="s">
        <v>1450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5" t="s">
        <v>1254</v>
      </c>
      <c r="C40" s="256" t="s">
        <v>1287</v>
      </c>
      <c r="D40" s="257">
        <v>0</v>
      </c>
      <c r="E40" s="257">
        <v>1</v>
      </c>
      <c r="F40" s="257">
        <v>0</v>
      </c>
      <c r="G40" s="257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5" t="s">
        <v>1425</v>
      </c>
      <c r="C41" s="256" t="s">
        <v>1426</v>
      </c>
      <c r="D41" s="257"/>
      <c r="E41" s="257"/>
      <c r="F41" s="257"/>
      <c r="G41" s="257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5" t="s">
        <v>1427</v>
      </c>
      <c r="C42" s="256" t="s">
        <v>1428</v>
      </c>
      <c r="D42" s="257">
        <v>4</v>
      </c>
      <c r="E42" s="257">
        <v>3</v>
      </c>
      <c r="F42" s="257">
        <v>3</v>
      </c>
      <c r="G42" s="257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5" t="s">
        <v>1255</v>
      </c>
      <c r="C43" s="256" t="s">
        <v>1288</v>
      </c>
      <c r="D43" s="257">
        <v>2</v>
      </c>
      <c r="E43" s="257">
        <v>3</v>
      </c>
      <c r="F43" s="257">
        <v>0</v>
      </c>
      <c r="G43" s="257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5" t="s">
        <v>1429</v>
      </c>
      <c r="C44" s="256" t="s">
        <v>1345</v>
      </c>
      <c r="D44" s="257"/>
      <c r="E44" s="257"/>
      <c r="F44" s="257"/>
      <c r="G44" s="257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5" t="s">
        <v>1430</v>
      </c>
      <c r="C45" s="256" t="s">
        <v>1431</v>
      </c>
      <c r="D45" s="257"/>
      <c r="E45" s="257"/>
      <c r="F45" s="257"/>
      <c r="G45" s="257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7" t="s">
        <v>1344</v>
      </c>
      <c r="C46" s="256" t="s">
        <v>1345</v>
      </c>
      <c r="D46" s="257"/>
      <c r="E46" s="257"/>
      <c r="F46" s="257"/>
      <c r="G46" s="257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7" t="s">
        <v>1432</v>
      </c>
      <c r="C47" s="256" t="s">
        <v>1431</v>
      </c>
      <c r="D47" s="257"/>
      <c r="E47" s="257"/>
      <c r="F47" s="257"/>
      <c r="G47" s="257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5" t="s">
        <v>1433</v>
      </c>
      <c r="C48" s="142" t="s">
        <v>1434</v>
      </c>
      <c r="D48" s="257">
        <v>64</v>
      </c>
      <c r="E48" s="257">
        <v>69</v>
      </c>
      <c r="F48" s="257">
        <v>73</v>
      </c>
      <c r="G48" s="257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5" t="s">
        <v>1342</v>
      </c>
      <c r="C49" s="142" t="s">
        <v>1343</v>
      </c>
      <c r="D49" s="257">
        <v>77</v>
      </c>
      <c r="E49" s="257">
        <v>67</v>
      </c>
      <c r="F49" s="257">
        <v>93</v>
      </c>
      <c r="G49" s="257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5" t="s">
        <v>1435</v>
      </c>
      <c r="C50" s="142" t="s">
        <v>1436</v>
      </c>
      <c r="D50" s="257"/>
      <c r="E50" s="257"/>
      <c r="F50" s="257"/>
      <c r="G50" s="257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5" t="s">
        <v>1437</v>
      </c>
      <c r="C51" s="142" t="s">
        <v>1438</v>
      </c>
      <c r="D51" s="257"/>
      <c r="E51" s="257"/>
      <c r="F51" s="257"/>
      <c r="G51" s="257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5" t="s">
        <v>1439</v>
      </c>
      <c r="C52" s="142" t="s">
        <v>1440</v>
      </c>
      <c r="D52" s="257"/>
      <c r="E52" s="257"/>
      <c r="F52" s="257"/>
      <c r="G52" s="257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5" t="s">
        <v>1441</v>
      </c>
      <c r="C53" s="142" t="s">
        <v>1442</v>
      </c>
      <c r="D53" s="257">
        <v>1015</v>
      </c>
      <c r="E53" s="257">
        <v>1064</v>
      </c>
      <c r="F53" s="257">
        <v>1085</v>
      </c>
      <c r="G53" s="257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5" t="s">
        <v>1346</v>
      </c>
      <c r="C54" s="142" t="s">
        <v>1347</v>
      </c>
      <c r="D54" s="257"/>
      <c r="E54" s="257"/>
      <c r="F54" s="257"/>
      <c r="G54" s="257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5" t="s">
        <v>1443</v>
      </c>
      <c r="C55" s="142" t="s">
        <v>1444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5" t="s">
        <v>1445</v>
      </c>
      <c r="C56" s="142" t="s">
        <v>1446</v>
      </c>
      <c r="D56" s="257">
        <v>19</v>
      </c>
      <c r="E56" s="257">
        <v>21</v>
      </c>
      <c r="F56" s="257">
        <v>21</v>
      </c>
      <c r="G56" s="257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5" t="s">
        <v>1447</v>
      </c>
      <c r="C57" s="142" t="s">
        <v>1448</v>
      </c>
      <c r="D57" s="257">
        <v>40</v>
      </c>
      <c r="E57" s="257">
        <v>36</v>
      </c>
      <c r="F57" s="257">
        <v>43</v>
      </c>
      <c r="G57" s="257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8" t="s">
        <v>1449</v>
      </c>
      <c r="C58" s="143" t="s">
        <v>1450</v>
      </c>
      <c r="D58" s="257">
        <v>121</v>
      </c>
      <c r="E58" s="257">
        <v>129</v>
      </c>
      <c r="F58" s="257">
        <v>163</v>
      </c>
      <c r="G58" s="257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1213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1348</v>
      </c>
      <c r="C3" s="114" t="s">
        <v>1349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1350</v>
      </c>
      <c r="C4" s="114" t="s">
        <v>1349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1351</v>
      </c>
      <c r="C5" s="114" t="s">
        <v>1349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1352</v>
      </c>
      <c r="C6" s="114" t="s">
        <v>1349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1259</v>
      </c>
      <c r="C7" s="114" t="s">
        <v>1290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1302</v>
      </c>
      <c r="C8" s="114" t="s">
        <v>1256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1258</v>
      </c>
      <c r="C9" s="114" t="s">
        <v>1289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1303</v>
      </c>
      <c r="C10" s="114" t="s">
        <v>1257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1353</v>
      </c>
      <c r="C11" s="114" t="s">
        <v>1354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1355</v>
      </c>
      <c r="C12" s="115" t="s">
        <v>1356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1357</v>
      </c>
      <c r="C13" s="115" t="s">
        <v>1358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1357</v>
      </c>
      <c r="C14" s="115" t="s">
        <v>1359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1360</v>
      </c>
      <c r="C15" s="115" t="s">
        <v>1361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1753</v>
      </c>
      <c r="C16" s="115" t="s">
        <v>1363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1364</v>
      </c>
      <c r="C17" s="115" t="s">
        <v>1365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1306</v>
      </c>
      <c r="C18" s="117" t="s">
        <v>1261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1366</v>
      </c>
      <c r="C19" s="117" t="s">
        <v>1367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1368</v>
      </c>
      <c r="C20" s="117" t="s">
        <v>1367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1369</v>
      </c>
      <c r="C21" s="117" t="s">
        <v>1367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1370</v>
      </c>
      <c r="C22" s="117" t="s">
        <v>1367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1371</v>
      </c>
      <c r="C23" s="117" t="s">
        <v>1367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1372</v>
      </c>
      <c r="C24" s="117" t="s">
        <v>1367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1373</v>
      </c>
      <c r="C25" s="117" t="s">
        <v>1374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1679</v>
      </c>
      <c r="C26" s="117" t="s">
        <v>1376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1401</v>
      </c>
      <c r="C27" s="117" t="s">
        <v>1402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1567</v>
      </c>
      <c r="C28" s="114" t="s">
        <v>1289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1258</v>
      </c>
      <c r="C29" s="114" t="s">
        <v>1289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1259</v>
      </c>
      <c r="C30" s="69" t="s">
        <v>1889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1404</v>
      </c>
      <c r="C31" s="69" t="s">
        <v>1405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1583</v>
      </c>
      <c r="C32" s="69" t="s">
        <v>1289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1476</v>
      </c>
      <c r="C33" s="117" t="s">
        <v>1477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6" t="s">
        <v>1406</v>
      </c>
      <c r="C34" s="118" t="s">
        <v>1407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1656</v>
      </c>
      <c r="C35" s="69" t="s">
        <v>1354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1292</v>
      </c>
      <c r="C36" s="69" t="s">
        <v>1293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1455</v>
      </c>
      <c r="C37" s="69" t="s">
        <v>1291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1348</v>
      </c>
      <c r="C38" s="69" t="s">
        <v>1349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1657</v>
      </c>
      <c r="C39" s="69" t="s">
        <v>1363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1366</v>
      </c>
      <c r="C40" s="69" t="s">
        <v>1367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1658</v>
      </c>
      <c r="C41" s="69" t="s">
        <v>1376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1565</v>
      </c>
      <c r="C42" s="69" t="s">
        <v>1488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1451</v>
      </c>
      <c r="C43" s="69" t="s">
        <v>1452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1659</v>
      </c>
      <c r="C44" s="69" t="s">
        <v>1660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1661</v>
      </c>
      <c r="C45" s="69" t="s">
        <v>1365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1662</v>
      </c>
      <c r="C46" s="69" t="s">
        <v>1463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1260</v>
      </c>
      <c r="C47" s="69" t="s">
        <v>1291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1351</v>
      </c>
      <c r="C48" s="69" t="s">
        <v>1349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1663</v>
      </c>
      <c r="C49" s="69" t="s">
        <v>1363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1372</v>
      </c>
      <c r="C50" s="69" t="s">
        <v>1367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1664</v>
      </c>
      <c r="C51" s="69" t="s">
        <v>1376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1665</v>
      </c>
      <c r="C52" s="69" t="s">
        <v>1263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1568</v>
      </c>
      <c r="C53" s="69" t="s">
        <v>1488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1666</v>
      </c>
      <c r="C54" s="69" t="s">
        <v>1452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1667</v>
      </c>
      <c r="C55" s="69" t="s">
        <v>1660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1668</v>
      </c>
      <c r="C56" s="69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1669</v>
      </c>
      <c r="C57" s="69" t="s">
        <v>1486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1569</v>
      </c>
      <c r="C58" s="69" t="s">
        <v>1291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1369</v>
      </c>
      <c r="C59" s="69" t="s">
        <v>1367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1670</v>
      </c>
      <c r="C60" s="69" t="s">
        <v>1484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1575</v>
      </c>
      <c r="C61" s="69" t="s">
        <v>1289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1264</v>
      </c>
      <c r="C62" s="69" t="s">
        <v>1291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1350</v>
      </c>
      <c r="C63" s="69" t="s">
        <v>1349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1576</v>
      </c>
      <c r="C64" s="69" t="s">
        <v>1363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1370</v>
      </c>
      <c r="C65" s="69" t="s">
        <v>1367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1259</v>
      </c>
      <c r="C66" s="69" t="s">
        <v>1290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1578</v>
      </c>
      <c r="C67" s="69" t="s">
        <v>1482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1579</v>
      </c>
      <c r="C68" s="69" t="s">
        <v>1488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1671</v>
      </c>
      <c r="C69" s="69" t="s">
        <v>1452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1672</v>
      </c>
      <c r="C70" s="69" t="s">
        <v>1660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1673</v>
      </c>
      <c r="C71" s="69" t="s">
        <v>1354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1294</v>
      </c>
      <c r="C72" s="69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1674</v>
      </c>
      <c r="C73" s="69" t="s">
        <v>1374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1258</v>
      </c>
      <c r="C74" s="69" t="s">
        <v>1289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1265</v>
      </c>
      <c r="C75" s="69" t="s">
        <v>1291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1352</v>
      </c>
      <c r="C76" s="69" t="s">
        <v>1349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1675</v>
      </c>
      <c r="C77" s="69" t="s">
        <v>1363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1371</v>
      </c>
      <c r="C78" s="69" t="s">
        <v>1367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1676</v>
      </c>
      <c r="C79" s="69" t="s">
        <v>1482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1581</v>
      </c>
      <c r="C80" s="69" t="s">
        <v>1488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1677</v>
      </c>
      <c r="C81" s="69" t="s">
        <v>1452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1678</v>
      </c>
      <c r="C82" s="69" t="s">
        <v>1660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1296</v>
      </c>
      <c r="C83" s="69" t="s">
        <v>1297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1583</v>
      </c>
      <c r="C84" s="69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1584</v>
      </c>
      <c r="C85" s="69" t="s">
        <v>1291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1586</v>
      </c>
      <c r="C86" s="69" t="s">
        <v>1363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1368</v>
      </c>
      <c r="C87" s="69" t="s">
        <v>1367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1679</v>
      </c>
      <c r="C88" s="69" t="s">
        <v>1376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1262</v>
      </c>
      <c r="C89" s="69" t="s">
        <v>1263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1587</v>
      </c>
      <c r="C90" s="69" t="s">
        <v>1488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1680</v>
      </c>
      <c r="C91" s="69" t="s">
        <v>1484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1681</v>
      </c>
      <c r="C92" s="69" t="s">
        <v>1452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1588</v>
      </c>
      <c r="C93" s="69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1682</v>
      </c>
      <c r="C94" s="69" t="s">
        <v>1361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1589</v>
      </c>
      <c r="C95" s="69" t="s">
        <v>1461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1590</v>
      </c>
      <c r="C96" s="69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1591</v>
      </c>
      <c r="C97" s="69" t="s">
        <v>1356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1683</v>
      </c>
      <c r="C98" s="69" t="s">
        <v>1470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1592</v>
      </c>
      <c r="C99" s="69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1593</v>
      </c>
      <c r="C100" s="69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1594</v>
      </c>
      <c r="C101" s="69" t="s">
        <v>1291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1596</v>
      </c>
      <c r="C102" s="69" t="s">
        <v>1363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1597</v>
      </c>
      <c r="C103" s="69" t="s">
        <v>1367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1684</v>
      </c>
      <c r="C104" s="69" t="s">
        <v>1376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1598</v>
      </c>
      <c r="C105" s="69" t="s">
        <v>1263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1685</v>
      </c>
      <c r="C106" s="69" t="s">
        <v>1482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1686</v>
      </c>
      <c r="C107" s="69" t="s">
        <v>1484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1600</v>
      </c>
      <c r="C108" s="69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1602</v>
      </c>
      <c r="C109" s="69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1603</v>
      </c>
      <c r="C110" s="69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1767</v>
      </c>
      <c r="C111" s="69" t="s">
        <v>1482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1768</v>
      </c>
      <c r="C112" s="69" t="s">
        <v>1261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1769</v>
      </c>
      <c r="C113" s="69" t="s">
        <v>1256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1753</v>
      </c>
      <c r="C114" s="69" t="s">
        <v>1363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1770</v>
      </c>
      <c r="C115" s="69" t="s">
        <v>1490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1771</v>
      </c>
      <c r="C116" s="69" t="s">
        <v>1257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1743</v>
      </c>
      <c r="C117" s="69" t="s">
        <v>1290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1772</v>
      </c>
      <c r="C118" s="69" t="s">
        <v>1660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1773</v>
      </c>
      <c r="C119" s="69" t="s">
        <v>1477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1451</v>
      </c>
      <c r="C120" s="117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1666</v>
      </c>
      <c r="C121" s="117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1671</v>
      </c>
      <c r="C122" s="117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1677</v>
      </c>
      <c r="C123" s="117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1737</v>
      </c>
      <c r="C124" s="117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1681</v>
      </c>
      <c r="C125" s="117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1600</v>
      </c>
      <c r="C126" s="117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1453</v>
      </c>
      <c r="C127" s="117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1567</v>
      </c>
      <c r="C128" s="117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1575</v>
      </c>
      <c r="C129" s="117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1258</v>
      </c>
      <c r="C130" s="117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1738</v>
      </c>
      <c r="C131" s="117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1583</v>
      </c>
      <c r="C132" s="117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1593</v>
      </c>
      <c r="C133" s="117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1366</v>
      </c>
      <c r="C134" s="117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1372</v>
      </c>
      <c r="C135" s="117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1370</v>
      </c>
      <c r="C136" s="117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1371</v>
      </c>
      <c r="C137" s="117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1369</v>
      </c>
      <c r="C138" s="117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1368</v>
      </c>
      <c r="C139" s="117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1597</v>
      </c>
      <c r="C140" s="117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1454</v>
      </c>
      <c r="C141" s="117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1739</v>
      </c>
      <c r="C142" s="117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1259</v>
      </c>
      <c r="C143" s="117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1740</v>
      </c>
      <c r="C144" s="117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1741</v>
      </c>
      <c r="C145" s="117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1742</v>
      </c>
      <c r="C146" s="117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1743</v>
      </c>
      <c r="C147" s="117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1455</v>
      </c>
      <c r="C148" s="117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1260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1264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1265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1569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1584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1594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1302</v>
      </c>
      <c r="C155" s="118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1306</v>
      </c>
      <c r="C156" s="117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1355</v>
      </c>
      <c r="C157" s="117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1456</v>
      </c>
      <c r="C158" s="117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1458</v>
      </c>
      <c r="C159" s="117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1309</v>
      </c>
      <c r="C160" s="117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1460</v>
      </c>
      <c r="C161" s="117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1406</v>
      </c>
      <c r="C162" s="117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1373</v>
      </c>
      <c r="C163" s="117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1462</v>
      </c>
      <c r="C164" s="117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1464</v>
      </c>
      <c r="C165" s="125" t="s">
        <v>1465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1466</v>
      </c>
      <c r="C166" s="120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1401</v>
      </c>
      <c r="C167" s="118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1364</v>
      </c>
      <c r="C168" s="117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1353</v>
      </c>
      <c r="C169" s="117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1468</v>
      </c>
      <c r="C170" s="117" t="s">
        <v>1354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1469</v>
      </c>
      <c r="C171" s="117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1360</v>
      </c>
      <c r="C172" s="117" t="s">
        <v>1361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1404</v>
      </c>
      <c r="C173" s="117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1471</v>
      </c>
      <c r="C174" s="117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1357</v>
      </c>
      <c r="C175" s="117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1474</v>
      </c>
      <c r="C176" s="117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1476</v>
      </c>
      <c r="C177" s="117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1304</v>
      </c>
      <c r="C178" s="117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1308</v>
      </c>
      <c r="C179" s="117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1478</v>
      </c>
      <c r="C180" s="117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1480</v>
      </c>
      <c r="C181" s="117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1481</v>
      </c>
      <c r="C182" s="117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1362</v>
      </c>
      <c r="C183" s="118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1375</v>
      </c>
      <c r="C184" s="117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1483</v>
      </c>
      <c r="C185" s="117" t="s">
        <v>1484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1485</v>
      </c>
      <c r="C186" s="117" t="s">
        <v>1486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1487</v>
      </c>
      <c r="C187" s="117" t="s">
        <v>1488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1307</v>
      </c>
      <c r="C188" s="117" t="s">
        <v>1263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1489</v>
      </c>
      <c r="C189" s="117" t="s">
        <v>1490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1303</v>
      </c>
      <c r="C190" s="117" t="s">
        <v>1257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9" t="s">
        <v>1453</v>
      </c>
      <c r="C191" s="65" t="s">
        <v>1289</v>
      </c>
      <c r="D191" s="38">
        <v>4</v>
      </c>
      <c r="E191" s="38">
        <v>4</v>
      </c>
      <c r="F191" s="38">
        <v>6</v>
      </c>
      <c r="G191" s="260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1403</v>
      </c>
    </row>
    <row r="192" spans="1:17" ht="45">
      <c r="A192" s="38" t="s">
        <v>3</v>
      </c>
      <c r="B192" s="259" t="s">
        <v>1455</v>
      </c>
      <c r="C192" s="65" t="s">
        <v>1291</v>
      </c>
      <c r="D192" s="38">
        <v>2</v>
      </c>
      <c r="E192" s="38">
        <v>4</v>
      </c>
      <c r="F192" s="38">
        <v>5</v>
      </c>
      <c r="G192" s="260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1305</v>
      </c>
    </row>
    <row r="193" spans="1:17">
      <c r="A193" s="38" t="s">
        <v>3</v>
      </c>
      <c r="B193" s="259" t="s">
        <v>1348</v>
      </c>
      <c r="C193" s="65" t="s">
        <v>1349</v>
      </c>
      <c r="D193" s="38">
        <v>59</v>
      </c>
      <c r="E193" s="38">
        <v>77</v>
      </c>
      <c r="F193" s="38">
        <v>131</v>
      </c>
      <c r="G193" s="260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1480</v>
      </c>
    </row>
    <row r="194" spans="1:17">
      <c r="A194" s="38" t="s">
        <v>3</v>
      </c>
      <c r="B194" s="259" t="s">
        <v>1563</v>
      </c>
      <c r="C194" s="65" t="s">
        <v>1263</v>
      </c>
      <c r="D194" s="38">
        <v>21</v>
      </c>
      <c r="E194" s="38">
        <v>21</v>
      </c>
      <c r="F194" s="38">
        <v>33</v>
      </c>
      <c r="G194" s="260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1307</v>
      </c>
    </row>
    <row r="195" spans="1:17" ht="45">
      <c r="A195" s="38" t="s">
        <v>3</v>
      </c>
      <c r="B195" s="259" t="s">
        <v>1454</v>
      </c>
      <c r="C195" s="65" t="s">
        <v>1290</v>
      </c>
      <c r="D195" s="38">
        <v>6</v>
      </c>
      <c r="E195" s="38">
        <v>1</v>
      </c>
      <c r="F195" s="38">
        <v>0</v>
      </c>
      <c r="G195" s="260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1564</v>
      </c>
    </row>
    <row r="196" spans="1:17" ht="45">
      <c r="A196" s="38" t="s">
        <v>3</v>
      </c>
      <c r="B196" s="259" t="s">
        <v>1565</v>
      </c>
      <c r="C196" s="65" t="s">
        <v>1488</v>
      </c>
      <c r="D196" s="38">
        <v>2</v>
      </c>
      <c r="E196" s="38">
        <v>1</v>
      </c>
      <c r="F196" s="38">
        <v>1</v>
      </c>
      <c r="G196" s="260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1487</v>
      </c>
    </row>
    <row r="197" spans="1:17">
      <c r="A197" s="38" t="s">
        <v>3</v>
      </c>
      <c r="B197" s="259" t="s">
        <v>1566</v>
      </c>
      <c r="C197" s="65" t="s">
        <v>1479</v>
      </c>
      <c r="D197" s="38">
        <v>0</v>
      </c>
      <c r="E197" s="38">
        <v>4</v>
      </c>
      <c r="F197" s="38">
        <v>1</v>
      </c>
      <c r="G197" s="260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1478</v>
      </c>
    </row>
    <row r="198" spans="1:17" ht="30">
      <c r="A198" s="38" t="s">
        <v>3</v>
      </c>
      <c r="B198" s="73" t="s">
        <v>1567</v>
      </c>
      <c r="C198" s="65" t="s">
        <v>1289</v>
      </c>
      <c r="D198" s="38">
        <v>4</v>
      </c>
      <c r="E198" s="38">
        <v>3</v>
      </c>
      <c r="F198" s="38">
        <v>1</v>
      </c>
      <c r="G198" s="260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1403</v>
      </c>
    </row>
    <row r="199" spans="1:17" ht="45">
      <c r="A199" s="38" t="s">
        <v>3</v>
      </c>
      <c r="B199" s="73" t="s">
        <v>1260</v>
      </c>
      <c r="C199" s="65" t="s">
        <v>1291</v>
      </c>
      <c r="D199" s="38">
        <v>5</v>
      </c>
      <c r="E199" s="38">
        <v>7</v>
      </c>
      <c r="F199" s="38">
        <v>5</v>
      </c>
      <c r="G199" s="260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1305</v>
      </c>
    </row>
    <row r="200" spans="1:17">
      <c r="A200" s="38" t="s">
        <v>3</v>
      </c>
      <c r="B200" s="73" t="s">
        <v>1351</v>
      </c>
      <c r="C200" s="65" t="s">
        <v>1349</v>
      </c>
      <c r="D200" s="38">
        <v>19</v>
      </c>
      <c r="E200" s="38">
        <v>15</v>
      </c>
      <c r="F200" s="38">
        <v>24</v>
      </c>
      <c r="G200" s="260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1480</v>
      </c>
    </row>
    <row r="201" spans="1:17" ht="45">
      <c r="A201" s="38" t="s">
        <v>3</v>
      </c>
      <c r="B201" s="259" t="s">
        <v>1568</v>
      </c>
      <c r="C201" s="65" t="s">
        <v>1488</v>
      </c>
      <c r="D201" s="38">
        <v>4</v>
      </c>
      <c r="E201" s="38">
        <v>3</v>
      </c>
      <c r="F201" s="38">
        <v>2</v>
      </c>
      <c r="G201" s="260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1487</v>
      </c>
    </row>
    <row r="202" spans="1:17" ht="30">
      <c r="A202" s="38" t="s">
        <v>3</v>
      </c>
      <c r="B202" s="259" t="s">
        <v>1306</v>
      </c>
      <c r="C202" s="65" t="s">
        <v>1261</v>
      </c>
      <c r="D202" s="38">
        <v>22</v>
      </c>
      <c r="E202" s="38">
        <v>10</v>
      </c>
      <c r="F202" s="38">
        <v>16</v>
      </c>
      <c r="G202" s="260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1306</v>
      </c>
    </row>
    <row r="203" spans="1:17" ht="30">
      <c r="A203" s="38" t="s">
        <v>3</v>
      </c>
      <c r="B203" s="259" t="s">
        <v>1456</v>
      </c>
      <c r="C203" s="65" t="s">
        <v>1457</v>
      </c>
      <c r="D203" s="38">
        <v>154</v>
      </c>
      <c r="E203" s="38">
        <v>142</v>
      </c>
      <c r="F203" s="38">
        <v>152</v>
      </c>
      <c r="G203" s="260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1456</v>
      </c>
    </row>
    <row r="204" spans="1:17" ht="30">
      <c r="A204" s="38" t="s">
        <v>3</v>
      </c>
      <c r="B204" s="259" t="s">
        <v>1302</v>
      </c>
      <c r="C204" s="65" t="s">
        <v>1256</v>
      </c>
      <c r="D204" s="38">
        <v>30</v>
      </c>
      <c r="E204" s="38">
        <v>44</v>
      </c>
      <c r="F204" s="38">
        <v>35</v>
      </c>
      <c r="G204" s="260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1302</v>
      </c>
    </row>
    <row r="205" spans="1:17" ht="45">
      <c r="A205" s="38" t="s">
        <v>3</v>
      </c>
      <c r="B205" s="259" t="s">
        <v>1569</v>
      </c>
      <c r="C205" s="65" t="s">
        <v>1291</v>
      </c>
      <c r="D205" s="38">
        <v>3</v>
      </c>
      <c r="E205" s="38">
        <v>3</v>
      </c>
      <c r="F205" s="38">
        <v>0</v>
      </c>
      <c r="G205" s="260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1305</v>
      </c>
    </row>
    <row r="206" spans="1:17">
      <c r="A206" s="38" t="s">
        <v>3</v>
      </c>
      <c r="B206" s="259" t="s">
        <v>1570</v>
      </c>
      <c r="C206" s="65" t="s">
        <v>1349</v>
      </c>
      <c r="D206" s="38">
        <v>4</v>
      </c>
      <c r="E206" s="38">
        <v>2</v>
      </c>
      <c r="F206" s="38">
        <v>3</v>
      </c>
      <c r="G206" s="260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1480</v>
      </c>
    </row>
    <row r="207" spans="1:17">
      <c r="A207" s="38" t="s">
        <v>3</v>
      </c>
      <c r="B207" s="259" t="s">
        <v>1369</v>
      </c>
      <c r="C207" s="65" t="s">
        <v>1367</v>
      </c>
      <c r="D207" s="38">
        <v>0</v>
      </c>
      <c r="E207" s="38">
        <v>0</v>
      </c>
      <c r="F207" s="38">
        <v>3</v>
      </c>
      <c r="G207" s="260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1571</v>
      </c>
    </row>
    <row r="208" spans="1:17">
      <c r="A208" s="38" t="s">
        <v>3</v>
      </c>
      <c r="B208" s="259" t="s">
        <v>1572</v>
      </c>
      <c r="C208" s="65" t="s">
        <v>1376</v>
      </c>
      <c r="D208" s="38">
        <v>8</v>
      </c>
      <c r="E208" s="38">
        <v>13</v>
      </c>
      <c r="F208" s="38">
        <v>31</v>
      </c>
      <c r="G208" s="260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1375</v>
      </c>
    </row>
    <row r="209" spans="1:17">
      <c r="A209" s="38" t="s">
        <v>3</v>
      </c>
      <c r="B209" s="259" t="s">
        <v>1573</v>
      </c>
      <c r="C209" s="65" t="s">
        <v>1263</v>
      </c>
      <c r="D209" s="38">
        <v>1</v>
      </c>
      <c r="E209" s="38">
        <v>1</v>
      </c>
      <c r="F209" s="38">
        <v>0</v>
      </c>
      <c r="G209" s="260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1307</v>
      </c>
    </row>
    <row r="210" spans="1:17" ht="45">
      <c r="A210" s="38" t="s">
        <v>3</v>
      </c>
      <c r="B210" s="259" t="s">
        <v>1574</v>
      </c>
      <c r="C210" s="65" t="s">
        <v>1488</v>
      </c>
      <c r="D210" s="38">
        <v>7</v>
      </c>
      <c r="E210" s="38">
        <v>23</v>
      </c>
      <c r="F210" s="38">
        <v>40</v>
      </c>
      <c r="G210" s="260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1487</v>
      </c>
    </row>
    <row r="211" spans="1:17" ht="30">
      <c r="A211" s="38" t="s">
        <v>3</v>
      </c>
      <c r="B211" s="259" t="s">
        <v>1575</v>
      </c>
      <c r="C211" s="65" t="s">
        <v>1289</v>
      </c>
      <c r="D211" s="38">
        <v>36</v>
      </c>
      <c r="E211" s="38">
        <v>29</v>
      </c>
      <c r="F211" s="38">
        <v>27</v>
      </c>
      <c r="G211" s="260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1403</v>
      </c>
    </row>
    <row r="212" spans="1:17" ht="45">
      <c r="A212" s="38" t="s">
        <v>3</v>
      </c>
      <c r="B212" s="259" t="s">
        <v>1264</v>
      </c>
      <c r="C212" s="65" t="s">
        <v>1291</v>
      </c>
      <c r="D212" s="38">
        <v>6</v>
      </c>
      <c r="E212" s="38">
        <v>5</v>
      </c>
      <c r="F212" s="38">
        <v>6</v>
      </c>
      <c r="G212" s="260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1305</v>
      </c>
    </row>
    <row r="213" spans="1:17">
      <c r="A213" s="38" t="s">
        <v>3</v>
      </c>
      <c r="B213" s="259" t="s">
        <v>1350</v>
      </c>
      <c r="C213" s="65" t="s">
        <v>1349</v>
      </c>
      <c r="D213" s="38">
        <v>32</v>
      </c>
      <c r="E213" s="38">
        <v>28</v>
      </c>
      <c r="F213" s="38">
        <v>23</v>
      </c>
      <c r="G213" s="260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1480</v>
      </c>
    </row>
    <row r="214" spans="1:17">
      <c r="A214" s="38" t="s">
        <v>3</v>
      </c>
      <c r="B214" s="259" t="s">
        <v>1576</v>
      </c>
      <c r="C214" s="65" t="s">
        <v>1363</v>
      </c>
      <c r="D214" s="38">
        <v>2</v>
      </c>
      <c r="E214" s="38">
        <v>0</v>
      </c>
      <c r="F214" s="38">
        <v>1</v>
      </c>
      <c r="G214" s="260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1362</v>
      </c>
    </row>
    <row r="215" spans="1:17">
      <c r="A215" s="38" t="s">
        <v>3</v>
      </c>
      <c r="B215" s="259" t="s">
        <v>1370</v>
      </c>
      <c r="C215" s="65" t="s">
        <v>1367</v>
      </c>
      <c r="D215" s="38">
        <v>0</v>
      </c>
      <c r="E215" s="38">
        <v>1</v>
      </c>
      <c r="F215" s="38">
        <v>0</v>
      </c>
      <c r="G215" s="260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1571</v>
      </c>
    </row>
    <row r="216" spans="1:17">
      <c r="A216" s="38" t="s">
        <v>3</v>
      </c>
      <c r="B216" s="259" t="s">
        <v>1577</v>
      </c>
      <c r="C216" s="65" t="s">
        <v>1263</v>
      </c>
      <c r="D216" s="38">
        <v>37</v>
      </c>
      <c r="E216" s="38">
        <v>15</v>
      </c>
      <c r="F216" s="38">
        <v>13</v>
      </c>
      <c r="G216" s="260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1307</v>
      </c>
    </row>
    <row r="217" spans="1:17" ht="45">
      <c r="A217" s="38" t="s">
        <v>3</v>
      </c>
      <c r="B217" s="259" t="s">
        <v>1259</v>
      </c>
      <c r="C217" s="65" t="s">
        <v>1290</v>
      </c>
      <c r="D217" s="38">
        <v>46</v>
      </c>
      <c r="E217" s="38">
        <v>34</v>
      </c>
      <c r="F217" s="38">
        <v>61</v>
      </c>
      <c r="G217" s="260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1564</v>
      </c>
    </row>
    <row r="218" spans="1:17" ht="30">
      <c r="A218" s="38" t="s">
        <v>3</v>
      </c>
      <c r="B218" s="259" t="s">
        <v>1578</v>
      </c>
      <c r="C218" s="65" t="s">
        <v>1482</v>
      </c>
      <c r="D218" s="38">
        <v>10</v>
      </c>
      <c r="E218" s="38">
        <v>7</v>
      </c>
      <c r="F218" s="38">
        <v>8</v>
      </c>
      <c r="G218" s="260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1481</v>
      </c>
    </row>
    <row r="219" spans="1:17" ht="45">
      <c r="A219" s="38" t="s">
        <v>3</v>
      </c>
      <c r="B219" s="259" t="s">
        <v>1579</v>
      </c>
      <c r="C219" s="65" t="s">
        <v>1488</v>
      </c>
      <c r="D219" s="38">
        <v>7</v>
      </c>
      <c r="E219" s="38">
        <v>6</v>
      </c>
      <c r="F219" s="38">
        <v>4</v>
      </c>
      <c r="G219" s="260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1487</v>
      </c>
    </row>
    <row r="220" spans="1:17">
      <c r="A220" s="38" t="s">
        <v>3</v>
      </c>
      <c r="B220" s="259" t="s">
        <v>1580</v>
      </c>
      <c r="C220" s="65" t="s">
        <v>1479</v>
      </c>
      <c r="D220" s="38">
        <v>1</v>
      </c>
      <c r="E220" s="38">
        <v>1</v>
      </c>
      <c r="F220" s="38">
        <v>1</v>
      </c>
      <c r="G220" s="260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1478</v>
      </c>
    </row>
    <row r="221" spans="1:17" ht="30">
      <c r="A221" s="38" t="s">
        <v>3</v>
      </c>
      <c r="B221" s="259" t="s">
        <v>1258</v>
      </c>
      <c r="C221" s="65" t="s">
        <v>1289</v>
      </c>
      <c r="D221" s="38">
        <v>12</v>
      </c>
      <c r="E221" s="38">
        <v>13</v>
      </c>
      <c r="F221" s="38">
        <v>3</v>
      </c>
      <c r="G221" s="260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1403</v>
      </c>
    </row>
    <row r="222" spans="1:17" ht="45">
      <c r="A222" s="38" t="s">
        <v>3</v>
      </c>
      <c r="B222" s="259" t="s">
        <v>1265</v>
      </c>
      <c r="C222" s="65" t="s">
        <v>1291</v>
      </c>
      <c r="D222" s="38">
        <v>1</v>
      </c>
      <c r="E222" s="38">
        <v>0</v>
      </c>
      <c r="F222" s="38">
        <v>1</v>
      </c>
      <c r="G222" s="260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1305</v>
      </c>
    </row>
    <row r="223" spans="1:17">
      <c r="A223" s="38" t="s">
        <v>3</v>
      </c>
      <c r="B223" s="259" t="s">
        <v>1352</v>
      </c>
      <c r="C223" s="65" t="s">
        <v>1349</v>
      </c>
      <c r="D223" s="38">
        <v>5</v>
      </c>
      <c r="E223" s="38">
        <v>2</v>
      </c>
      <c r="F223" s="38">
        <v>5</v>
      </c>
      <c r="G223" s="260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1480</v>
      </c>
    </row>
    <row r="224" spans="1:17" ht="45">
      <c r="A224" s="38" t="s">
        <v>3</v>
      </c>
      <c r="B224" s="259" t="s">
        <v>1581</v>
      </c>
      <c r="C224" s="65" t="s">
        <v>1488</v>
      </c>
      <c r="D224" s="38">
        <v>1</v>
      </c>
      <c r="E224" s="38">
        <v>0</v>
      </c>
      <c r="F224" s="38">
        <v>1</v>
      </c>
      <c r="G224" s="260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1487</v>
      </c>
    </row>
    <row r="225" spans="1:17">
      <c r="A225" s="38" t="s">
        <v>3</v>
      </c>
      <c r="B225" s="259" t="s">
        <v>1582</v>
      </c>
      <c r="C225" s="65" t="s">
        <v>1479</v>
      </c>
      <c r="D225" s="38">
        <v>1</v>
      </c>
      <c r="E225" s="38">
        <v>0</v>
      </c>
      <c r="F225" s="38">
        <v>2</v>
      </c>
      <c r="G225" s="260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1478</v>
      </c>
    </row>
    <row r="226" spans="1:17" ht="30">
      <c r="A226" s="38" t="s">
        <v>3</v>
      </c>
      <c r="B226" s="259" t="s">
        <v>1583</v>
      </c>
      <c r="C226" s="65" t="s">
        <v>1289</v>
      </c>
      <c r="D226" s="38">
        <v>163</v>
      </c>
      <c r="E226" s="38">
        <v>218</v>
      </c>
      <c r="F226" s="38">
        <v>281</v>
      </c>
      <c r="G226" s="260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1403</v>
      </c>
    </row>
    <row r="227" spans="1:17" ht="45">
      <c r="A227" s="38" t="s">
        <v>3</v>
      </c>
      <c r="B227" s="259" t="s">
        <v>1584</v>
      </c>
      <c r="C227" s="65" t="s">
        <v>1291</v>
      </c>
      <c r="D227" s="38">
        <v>18</v>
      </c>
      <c r="E227" s="38">
        <v>16</v>
      </c>
      <c r="F227" s="38">
        <v>34</v>
      </c>
      <c r="G227" s="260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1305</v>
      </c>
    </row>
    <row r="228" spans="1:17">
      <c r="A228" s="38" t="s">
        <v>3</v>
      </c>
      <c r="B228" s="259" t="s">
        <v>1585</v>
      </c>
      <c r="C228" s="65" t="s">
        <v>1349</v>
      </c>
      <c r="D228" s="38">
        <v>10</v>
      </c>
      <c r="E228" s="38">
        <v>11</v>
      </c>
      <c r="F228" s="38">
        <v>7</v>
      </c>
      <c r="G228" s="260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1480</v>
      </c>
    </row>
    <row r="229" spans="1:17">
      <c r="A229" s="38" t="s">
        <v>3</v>
      </c>
      <c r="B229" s="259" t="s">
        <v>1586</v>
      </c>
      <c r="C229" s="65" t="s">
        <v>1363</v>
      </c>
      <c r="D229" s="38">
        <v>111</v>
      </c>
      <c r="E229" s="38">
        <v>145</v>
      </c>
      <c r="F229" s="38">
        <v>191</v>
      </c>
      <c r="G229" s="260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1362</v>
      </c>
    </row>
    <row r="230" spans="1:17">
      <c r="A230" s="38" t="s">
        <v>3</v>
      </c>
      <c r="B230" s="259" t="s">
        <v>1368</v>
      </c>
      <c r="C230" s="65" t="s">
        <v>1367</v>
      </c>
      <c r="D230" s="38">
        <v>0</v>
      </c>
      <c r="E230" s="38">
        <v>0</v>
      </c>
      <c r="F230" s="38">
        <v>0</v>
      </c>
      <c r="G230" s="260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1571</v>
      </c>
    </row>
    <row r="231" spans="1:17">
      <c r="A231" s="38" t="s">
        <v>3</v>
      </c>
      <c r="B231" s="259" t="s">
        <v>1262</v>
      </c>
      <c r="C231" s="65" t="s">
        <v>1263</v>
      </c>
      <c r="D231" s="38">
        <v>2</v>
      </c>
      <c r="E231" s="38">
        <v>1</v>
      </c>
      <c r="F231" s="38">
        <v>1</v>
      </c>
      <c r="G231" s="260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1307</v>
      </c>
    </row>
    <row r="232" spans="1:17" ht="45">
      <c r="A232" s="38" t="s">
        <v>3</v>
      </c>
      <c r="B232" s="259" t="s">
        <v>1587</v>
      </c>
      <c r="C232" s="65" t="s">
        <v>1488</v>
      </c>
      <c r="D232" s="38">
        <v>125</v>
      </c>
      <c r="E232" s="38">
        <v>116</v>
      </c>
      <c r="F232" s="38">
        <v>116</v>
      </c>
      <c r="G232" s="260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1487</v>
      </c>
    </row>
    <row r="233" spans="1:17" ht="30">
      <c r="A233" s="38" t="s">
        <v>3</v>
      </c>
      <c r="B233" s="259" t="s">
        <v>1471</v>
      </c>
      <c r="C233" s="65" t="s">
        <v>1472</v>
      </c>
      <c r="D233" s="38">
        <v>23</v>
      </c>
      <c r="E233" s="38">
        <v>16</v>
      </c>
      <c r="F233" s="38">
        <v>22</v>
      </c>
      <c r="G233" s="260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1471</v>
      </c>
    </row>
    <row r="234" spans="1:17">
      <c r="A234" s="38" t="s">
        <v>3</v>
      </c>
      <c r="B234" s="259" t="s">
        <v>1460</v>
      </c>
      <c r="C234" s="65" t="s">
        <v>1461</v>
      </c>
      <c r="D234" s="38">
        <v>120</v>
      </c>
      <c r="E234" s="38">
        <v>119</v>
      </c>
      <c r="F234" s="38">
        <v>153</v>
      </c>
      <c r="G234" s="260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1460</v>
      </c>
    </row>
    <row r="235" spans="1:17" ht="45">
      <c r="A235" s="38" t="s">
        <v>3</v>
      </c>
      <c r="B235" s="259" t="s">
        <v>1406</v>
      </c>
      <c r="C235" s="65" t="s">
        <v>1407</v>
      </c>
      <c r="D235" s="38">
        <v>48</v>
      </c>
      <c r="E235" s="38">
        <v>39</v>
      </c>
      <c r="F235" s="38">
        <v>50</v>
      </c>
      <c r="G235" s="260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1406</v>
      </c>
    </row>
    <row r="236" spans="1:17" ht="45">
      <c r="A236" s="38" t="s">
        <v>3</v>
      </c>
      <c r="B236" s="259" t="s">
        <v>1355</v>
      </c>
      <c r="C236" s="65" t="s">
        <v>1356</v>
      </c>
      <c r="D236" s="38">
        <v>186</v>
      </c>
      <c r="E236" s="38">
        <v>133</v>
      </c>
      <c r="F236" s="38">
        <v>155</v>
      </c>
      <c r="G236" s="260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1355</v>
      </c>
    </row>
    <row r="237" spans="1:17">
      <c r="A237" s="38" t="s">
        <v>3</v>
      </c>
      <c r="B237" s="259" t="s">
        <v>1357</v>
      </c>
      <c r="C237" s="65" t="s">
        <v>1473</v>
      </c>
      <c r="D237" s="38">
        <v>14</v>
      </c>
      <c r="E237" s="38">
        <v>15</v>
      </c>
      <c r="F237" s="38">
        <v>13</v>
      </c>
      <c r="G237" s="260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1357</v>
      </c>
    </row>
    <row r="238" spans="1:17" ht="30">
      <c r="A238" s="38" t="s">
        <v>3</v>
      </c>
      <c r="B238" s="259" t="s">
        <v>1593</v>
      </c>
      <c r="C238" s="65" t="s">
        <v>1289</v>
      </c>
      <c r="D238" s="38">
        <v>170</v>
      </c>
      <c r="E238" s="38">
        <v>148</v>
      </c>
      <c r="F238" s="38">
        <v>163</v>
      </c>
      <c r="G238" s="260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1403</v>
      </c>
    </row>
    <row r="239" spans="1:17" ht="45">
      <c r="A239" s="38" t="s">
        <v>3</v>
      </c>
      <c r="B239" s="259" t="s">
        <v>1594</v>
      </c>
      <c r="C239" s="65" t="s">
        <v>1291</v>
      </c>
      <c r="D239" s="38">
        <v>48</v>
      </c>
      <c r="E239" s="38">
        <v>57</v>
      </c>
      <c r="F239" s="38">
        <v>63</v>
      </c>
      <c r="G239" s="260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1305</v>
      </c>
    </row>
    <row r="240" spans="1:17">
      <c r="A240" s="38" t="s">
        <v>3</v>
      </c>
      <c r="B240" s="259" t="s">
        <v>1595</v>
      </c>
      <c r="C240" s="65" t="s">
        <v>1349</v>
      </c>
      <c r="D240" s="38">
        <v>9</v>
      </c>
      <c r="E240" s="38">
        <v>5</v>
      </c>
      <c r="F240" s="38">
        <v>5</v>
      </c>
      <c r="G240" s="260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1480</v>
      </c>
    </row>
    <row r="241" spans="1:17">
      <c r="A241" s="38" t="s">
        <v>3</v>
      </c>
      <c r="B241" s="259" t="s">
        <v>1596</v>
      </c>
      <c r="C241" s="65" t="s">
        <v>1363</v>
      </c>
      <c r="D241" s="38">
        <v>7</v>
      </c>
      <c r="E241" s="38">
        <v>5</v>
      </c>
      <c r="F241" s="38">
        <v>5</v>
      </c>
      <c r="G241" s="260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1362</v>
      </c>
    </row>
    <row r="242" spans="1:17">
      <c r="A242" s="38" t="s">
        <v>3</v>
      </c>
      <c r="B242" s="259" t="s">
        <v>1597</v>
      </c>
      <c r="C242" s="65" t="s">
        <v>1367</v>
      </c>
      <c r="D242" s="38">
        <v>0</v>
      </c>
      <c r="E242" s="38">
        <v>1</v>
      </c>
      <c r="F242" s="38">
        <v>0</v>
      </c>
      <c r="G242" s="260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1571</v>
      </c>
    </row>
    <row r="243" spans="1:17">
      <c r="A243" s="38" t="s">
        <v>3</v>
      </c>
      <c r="B243" s="259" t="s">
        <v>1598</v>
      </c>
      <c r="C243" s="65" t="s">
        <v>1263</v>
      </c>
      <c r="D243" s="38">
        <v>14</v>
      </c>
      <c r="E243" s="38">
        <v>37</v>
      </c>
      <c r="F243" s="38">
        <v>39</v>
      </c>
      <c r="G243" s="260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1307</v>
      </c>
    </row>
    <row r="244" spans="1:17" ht="45">
      <c r="A244" s="38" t="s">
        <v>3</v>
      </c>
      <c r="B244" s="259" t="s">
        <v>1599</v>
      </c>
      <c r="C244" s="65" t="s">
        <v>1488</v>
      </c>
      <c r="D244" s="38">
        <v>167</v>
      </c>
      <c r="E244" s="38">
        <v>166</v>
      </c>
      <c r="F244" s="38">
        <v>151</v>
      </c>
      <c r="G244" s="260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1487</v>
      </c>
    </row>
    <row r="245" spans="1:17" ht="30">
      <c r="A245" s="38" t="s">
        <v>3</v>
      </c>
      <c r="B245" s="259" t="s">
        <v>1600</v>
      </c>
      <c r="C245" s="65" t="s">
        <v>1452</v>
      </c>
      <c r="D245" s="38">
        <v>28</v>
      </c>
      <c r="E245" s="38">
        <v>49</v>
      </c>
      <c r="F245" s="38">
        <v>34</v>
      </c>
      <c r="G245" s="260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1601</v>
      </c>
    </row>
    <row r="246" spans="1:17" ht="30">
      <c r="A246" s="38" t="s">
        <v>3</v>
      </c>
      <c r="B246" s="259" t="s">
        <v>1464</v>
      </c>
      <c r="C246" s="65" t="s">
        <v>1465</v>
      </c>
      <c r="D246" s="38">
        <v>18</v>
      </c>
      <c r="E246" s="38">
        <v>16</v>
      </c>
      <c r="F246" s="38">
        <v>21</v>
      </c>
      <c r="G246" s="260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1464</v>
      </c>
    </row>
    <row r="247" spans="1:17" ht="30">
      <c r="A247" s="38" t="s">
        <v>3</v>
      </c>
      <c r="B247" s="259" t="s">
        <v>1466</v>
      </c>
      <c r="C247" s="65" t="s">
        <v>1467</v>
      </c>
      <c r="D247" s="38">
        <v>134</v>
      </c>
      <c r="E247" s="38">
        <v>243</v>
      </c>
      <c r="F247" s="38">
        <v>230</v>
      </c>
      <c r="G247" s="260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1466</v>
      </c>
    </row>
    <row r="248" spans="1:17" ht="30">
      <c r="A248" s="38" t="s">
        <v>3</v>
      </c>
      <c r="B248" s="259" t="s">
        <v>1476</v>
      </c>
      <c r="C248" s="65" t="s">
        <v>1477</v>
      </c>
      <c r="D248" s="38">
        <v>55</v>
      </c>
      <c r="E248" s="38">
        <v>39</v>
      </c>
      <c r="F248" s="38">
        <v>46</v>
      </c>
      <c r="G248" s="260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1476</v>
      </c>
    </row>
    <row r="249" spans="1:17" ht="30">
      <c r="A249" s="38" t="s">
        <v>3</v>
      </c>
      <c r="B249" s="259" t="s">
        <v>1353</v>
      </c>
      <c r="C249" s="65" t="s">
        <v>1354</v>
      </c>
      <c r="D249" s="260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1353</v>
      </c>
    </row>
    <row r="250" spans="1:17" ht="30">
      <c r="A250" s="38" t="s">
        <v>3</v>
      </c>
      <c r="B250" s="259" t="s">
        <v>1681</v>
      </c>
      <c r="C250" s="65" t="s">
        <v>1452</v>
      </c>
      <c r="D250" s="260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1601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1213</v>
      </c>
      <c r="C2" s="60" t="s">
        <v>118</v>
      </c>
      <c r="D2" s="60" t="s">
        <v>1214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1266</v>
      </c>
      <c r="C3" s="112" t="s">
        <v>1313</v>
      </c>
      <c r="D3" s="114" t="s">
        <v>1268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1518</v>
      </c>
      <c r="C4" s="112" t="s">
        <v>1313</v>
      </c>
      <c r="D4" s="114" t="s">
        <v>1396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1275</v>
      </c>
      <c r="C5" s="112" t="s">
        <v>1313</v>
      </c>
      <c r="D5" s="114" t="s">
        <v>1268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1281</v>
      </c>
      <c r="C6" s="112" t="s">
        <v>1313</v>
      </c>
      <c r="D6" s="114" t="s">
        <v>1268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1283</v>
      </c>
      <c r="C7" s="112" t="s">
        <v>1313</v>
      </c>
      <c r="D7" s="114" t="s">
        <v>1268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1608</v>
      </c>
      <c r="C8" s="112" t="s">
        <v>1313</v>
      </c>
      <c r="D8" s="114" t="s">
        <v>1690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1266</v>
      </c>
      <c r="C9" s="112" t="s">
        <v>1267</v>
      </c>
      <c r="D9" s="114" t="s">
        <v>1268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1275</v>
      </c>
      <c r="C10" s="112" t="s">
        <v>1267</v>
      </c>
      <c r="D10" s="114" t="s">
        <v>1268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1278</v>
      </c>
      <c r="C11" s="112" t="s">
        <v>1267</v>
      </c>
      <c r="D11" s="114" t="s">
        <v>1280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1755</v>
      </c>
      <c r="C12" s="112" t="s">
        <v>1267</v>
      </c>
      <c r="D12" s="114" t="s">
        <v>1763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1538</v>
      </c>
      <c r="C13" s="112" t="s">
        <v>1267</v>
      </c>
      <c r="D13" s="114" t="s">
        <v>1268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1281</v>
      </c>
      <c r="C14" s="112" t="s">
        <v>1267</v>
      </c>
      <c r="D14" s="114" t="s">
        <v>1268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1283</v>
      </c>
      <c r="C15" s="112" t="s">
        <v>1267</v>
      </c>
      <c r="D15" s="114" t="s">
        <v>1268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1754</v>
      </c>
      <c r="C16" s="112" t="s">
        <v>1270</v>
      </c>
      <c r="D16" s="114" t="s">
        <v>1274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1266</v>
      </c>
      <c r="C17" s="112" t="s">
        <v>1270</v>
      </c>
      <c r="D17" s="114" t="s">
        <v>1268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1269</v>
      </c>
      <c r="C18" s="112" t="s">
        <v>1270</v>
      </c>
      <c r="D18" s="114" t="s">
        <v>1271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1275</v>
      </c>
      <c r="C19" s="112" t="s">
        <v>1270</v>
      </c>
      <c r="D19" s="114" t="s">
        <v>1268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1278</v>
      </c>
      <c r="C20" s="112" t="s">
        <v>1270</v>
      </c>
      <c r="D20" s="114" t="s">
        <v>1280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1276</v>
      </c>
      <c r="C21" s="112" t="s">
        <v>1270</v>
      </c>
      <c r="D21" s="114" t="s">
        <v>1271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1277</v>
      </c>
      <c r="C22" s="112" t="s">
        <v>1270</v>
      </c>
      <c r="D22" s="114" t="s">
        <v>1273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1498</v>
      </c>
      <c r="C23" s="112" t="s">
        <v>1270</v>
      </c>
      <c r="D23" s="114" t="s">
        <v>1274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1755</v>
      </c>
      <c r="C24" s="112" t="s">
        <v>1270</v>
      </c>
      <c r="D24" s="114" t="s">
        <v>1763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1512</v>
      </c>
      <c r="C25" s="112" t="s">
        <v>1270</v>
      </c>
      <c r="D25" s="114" t="s">
        <v>1688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1538</v>
      </c>
      <c r="C26" s="112" t="s">
        <v>1270</v>
      </c>
      <c r="D26" s="114" t="s">
        <v>1268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1501</v>
      </c>
      <c r="C27" s="112" t="s">
        <v>1270</v>
      </c>
      <c r="D27" s="114" t="s">
        <v>1271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1534</v>
      </c>
      <c r="C28" s="112" t="s">
        <v>1270</v>
      </c>
      <c r="D28" s="114" t="s">
        <v>1273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1504</v>
      </c>
      <c r="C29" s="112" t="s">
        <v>1270</v>
      </c>
      <c r="D29" s="114" t="s">
        <v>1688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1281</v>
      </c>
      <c r="C30" s="112" t="s">
        <v>1270</v>
      </c>
      <c r="D30" s="114" t="s">
        <v>1268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1282</v>
      </c>
      <c r="C31" s="112" t="s">
        <v>1270</v>
      </c>
      <c r="D31" s="114" t="s">
        <v>1271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1533</v>
      </c>
      <c r="C32" s="112" t="s">
        <v>1270</v>
      </c>
      <c r="D32" s="114" t="s">
        <v>1273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1283</v>
      </c>
      <c r="C33" s="112" t="s">
        <v>1270</v>
      </c>
      <c r="D33" s="114" t="s">
        <v>1268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1716</v>
      </c>
      <c r="C34" s="112" t="s">
        <v>1270</v>
      </c>
      <c r="D34" s="114" t="s">
        <v>1695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1730</v>
      </c>
      <c r="C35" s="112" t="s">
        <v>1270</v>
      </c>
      <c r="D35" s="114" t="s">
        <v>1723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1507</v>
      </c>
      <c r="C36" s="112" t="s">
        <v>1270</v>
      </c>
      <c r="D36" s="114" t="s">
        <v>1271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1275</v>
      </c>
      <c r="C37" s="112" t="s">
        <v>1279</v>
      </c>
      <c r="D37" s="114" t="s">
        <v>1268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1278</v>
      </c>
      <c r="C38" s="112" t="s">
        <v>1279</v>
      </c>
      <c r="D38" s="114" t="s">
        <v>1280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1283</v>
      </c>
      <c r="C39" s="112" t="s">
        <v>1279</v>
      </c>
      <c r="D39" s="114" t="s">
        <v>1268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1606</v>
      </c>
      <c r="C40" s="112" t="s">
        <v>1279</v>
      </c>
      <c r="D40" s="114" t="s">
        <v>1719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1608</v>
      </c>
      <c r="C41" s="112" t="s">
        <v>1279</v>
      </c>
      <c r="D41" s="114" t="s">
        <v>1690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1506</v>
      </c>
      <c r="C42" s="112" t="s">
        <v>1313</v>
      </c>
      <c r="D42" s="114" t="s">
        <v>1280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1499</v>
      </c>
      <c r="C43" s="112" t="s">
        <v>1313</v>
      </c>
      <c r="D43" s="114" t="s">
        <v>1691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1538</v>
      </c>
      <c r="C44" s="112" t="s">
        <v>1279</v>
      </c>
      <c r="D44" s="114" t="s">
        <v>1268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1702</v>
      </c>
      <c r="C45" s="151" t="s">
        <v>1267</v>
      </c>
      <c r="D45" s="152" t="s">
        <v>1745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1500</v>
      </c>
      <c r="C46" s="153" t="s">
        <v>1267</v>
      </c>
      <c r="D46" s="154" t="s">
        <v>1389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1500</v>
      </c>
      <c r="C47" s="153" t="s">
        <v>1279</v>
      </c>
      <c r="D47" s="154" t="s">
        <v>1389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1530</v>
      </c>
      <c r="C48" s="153" t="s">
        <v>1267</v>
      </c>
      <c r="D48" s="154" t="s">
        <v>1744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1530</v>
      </c>
      <c r="C49" s="153" t="s">
        <v>1279</v>
      </c>
      <c r="D49" s="154" t="s">
        <v>1744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1266</v>
      </c>
      <c r="C50" s="153" t="s">
        <v>1267</v>
      </c>
      <c r="D50" s="154" t="s">
        <v>1382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1703</v>
      </c>
      <c r="C51" s="153" t="s">
        <v>1279</v>
      </c>
      <c r="D51" s="154" t="s">
        <v>1280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1714</v>
      </c>
      <c r="C52" s="153" t="s">
        <v>1279</v>
      </c>
      <c r="D52" s="154" t="s">
        <v>1774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1722</v>
      </c>
      <c r="C53" s="153" t="s">
        <v>1267</v>
      </c>
      <c r="D53" s="154" t="s">
        <v>1393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1717</v>
      </c>
      <c r="C54" s="153" t="s">
        <v>1267</v>
      </c>
      <c r="D54" s="154" t="s">
        <v>1707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1717</v>
      </c>
      <c r="C55" s="153" t="s">
        <v>1279</v>
      </c>
      <c r="D55" s="154" t="s">
        <v>1707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1269</v>
      </c>
      <c r="C56" s="153" t="s">
        <v>1270</v>
      </c>
      <c r="D56" s="154" t="s">
        <v>1380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1269</v>
      </c>
      <c r="C57" s="153" t="s">
        <v>1279</v>
      </c>
      <c r="D57" s="154" t="s">
        <v>1380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1518</v>
      </c>
      <c r="C58" s="153" t="s">
        <v>1313</v>
      </c>
      <c r="D58" s="154" t="s">
        <v>1396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1518</v>
      </c>
      <c r="C59" s="153" t="s">
        <v>1267</v>
      </c>
      <c r="D59" s="154" t="s">
        <v>1396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1518</v>
      </c>
      <c r="C60" s="153" t="s">
        <v>1279</v>
      </c>
      <c r="D60" s="154" t="s">
        <v>1396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1272</v>
      </c>
      <c r="C61" s="153" t="s">
        <v>1279</v>
      </c>
      <c r="D61" s="154" t="s">
        <v>1385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1700</v>
      </c>
      <c r="C62" s="153" t="s">
        <v>1267</v>
      </c>
      <c r="D62" s="154" t="s">
        <v>1745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1700</v>
      </c>
      <c r="C63" s="153" t="s">
        <v>1279</v>
      </c>
      <c r="D63" s="154" t="s">
        <v>1745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1511</v>
      </c>
      <c r="C64" s="153" t="s">
        <v>1279</v>
      </c>
      <c r="D64" s="154" t="s">
        <v>1389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1701</v>
      </c>
      <c r="C65" s="153" t="s">
        <v>1267</v>
      </c>
      <c r="D65" s="154" t="s">
        <v>1744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1275</v>
      </c>
      <c r="C66" s="153" t="s">
        <v>1267</v>
      </c>
      <c r="D66" s="154" t="s">
        <v>1382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1275</v>
      </c>
      <c r="C67" s="153" t="s">
        <v>1270</v>
      </c>
      <c r="D67" s="154" t="s">
        <v>1382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1724</v>
      </c>
      <c r="C68" s="153" t="s">
        <v>1279</v>
      </c>
      <c r="D68" s="154" t="s">
        <v>1391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1278</v>
      </c>
      <c r="C69" s="153" t="s">
        <v>1267</v>
      </c>
      <c r="D69" s="154" t="s">
        <v>1280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1278</v>
      </c>
      <c r="C70" s="153" t="s">
        <v>1279</v>
      </c>
      <c r="D70" s="154" t="s">
        <v>1280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1728</v>
      </c>
      <c r="C71" s="153" t="s">
        <v>1279</v>
      </c>
      <c r="D71" s="154" t="s">
        <v>1774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1706</v>
      </c>
      <c r="C72" s="153" t="s">
        <v>1279</v>
      </c>
      <c r="D72" s="154" t="s">
        <v>1707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1276</v>
      </c>
      <c r="C73" s="153" t="s">
        <v>1270</v>
      </c>
      <c r="D73" s="154" t="s">
        <v>1380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1276</v>
      </c>
      <c r="C74" s="153" t="s">
        <v>1279</v>
      </c>
      <c r="D74" s="154" t="s">
        <v>1380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1508</v>
      </c>
      <c r="C75" s="153" t="s">
        <v>1313</v>
      </c>
      <c r="D75" s="154" t="s">
        <v>1396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1508</v>
      </c>
      <c r="C76" s="153" t="s">
        <v>1267</v>
      </c>
      <c r="D76" s="154" t="s">
        <v>1396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1508</v>
      </c>
      <c r="C77" s="153" t="s">
        <v>1279</v>
      </c>
      <c r="D77" s="154" t="s">
        <v>1396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1277</v>
      </c>
      <c r="C78" s="153" t="s">
        <v>1279</v>
      </c>
      <c r="D78" s="154" t="s">
        <v>1385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1712</v>
      </c>
      <c r="C79" s="153" t="s">
        <v>1279</v>
      </c>
      <c r="D79" s="154" t="s">
        <v>1745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1699</v>
      </c>
      <c r="C80" s="153" t="s">
        <v>1279</v>
      </c>
      <c r="D80" s="154" t="s">
        <v>1389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1528</v>
      </c>
      <c r="C81" s="153" t="s">
        <v>1267</v>
      </c>
      <c r="D81" s="154" t="s">
        <v>1744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1528</v>
      </c>
      <c r="C82" s="153" t="s">
        <v>1279</v>
      </c>
      <c r="D82" s="154" t="s">
        <v>1744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1497</v>
      </c>
      <c r="C83" s="153" t="s">
        <v>1267</v>
      </c>
      <c r="D83" s="154" t="s">
        <v>1604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1497</v>
      </c>
      <c r="C84" s="153" t="s">
        <v>1279</v>
      </c>
      <c r="D84" s="154" t="s">
        <v>1604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1498</v>
      </c>
      <c r="C85" s="153" t="s">
        <v>1267</v>
      </c>
      <c r="D85" s="154" t="s">
        <v>1378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1498</v>
      </c>
      <c r="C86" s="153" t="s">
        <v>1279</v>
      </c>
      <c r="D86" s="154" t="s">
        <v>1378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1696</v>
      </c>
      <c r="C87" s="153" t="s">
        <v>1267</v>
      </c>
      <c r="D87" s="154" t="s">
        <v>1382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1694</v>
      </c>
      <c r="C88" s="153" t="s">
        <v>1279</v>
      </c>
      <c r="D88" s="154" t="s">
        <v>1391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1605</v>
      </c>
      <c r="C89" s="153" t="s">
        <v>1270</v>
      </c>
      <c r="D89" s="154" t="s">
        <v>1280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1605</v>
      </c>
      <c r="C90" s="153" t="s">
        <v>1279</v>
      </c>
      <c r="D90" s="154" t="s">
        <v>1280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1725</v>
      </c>
      <c r="C91" s="153" t="s">
        <v>1279</v>
      </c>
      <c r="D91" s="154" t="s">
        <v>1774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1692</v>
      </c>
      <c r="C92" s="153" t="s">
        <v>1279</v>
      </c>
      <c r="D92" s="154" t="s">
        <v>1380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1687</v>
      </c>
      <c r="C93" s="153" t="s">
        <v>1267</v>
      </c>
      <c r="D93" s="154" t="s">
        <v>1396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1687</v>
      </c>
      <c r="C94" s="153" t="s">
        <v>1279</v>
      </c>
      <c r="D94" s="154" t="s">
        <v>1396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1515</v>
      </c>
      <c r="C95" s="153" t="s">
        <v>1267</v>
      </c>
      <c r="D95" s="154" t="s">
        <v>1385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1515</v>
      </c>
      <c r="C96" s="153" t="s">
        <v>1279</v>
      </c>
      <c r="D96" s="154" t="s">
        <v>1385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1526</v>
      </c>
      <c r="C97" s="153" t="s">
        <v>1279</v>
      </c>
      <c r="D97" s="154" t="s">
        <v>1745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1512</v>
      </c>
      <c r="C98" s="153" t="s">
        <v>1279</v>
      </c>
      <c r="D98" s="154" t="s">
        <v>1389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1514</v>
      </c>
      <c r="C99" s="153" t="s">
        <v>1267</v>
      </c>
      <c r="D99" s="154" t="s">
        <v>1744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1514</v>
      </c>
      <c r="C100" s="153" t="s">
        <v>1279</v>
      </c>
      <c r="D100" s="154" t="s">
        <v>1744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1538</v>
      </c>
      <c r="C101" s="153" t="s">
        <v>1279</v>
      </c>
      <c r="D101" s="154" t="s">
        <v>1382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1510</v>
      </c>
      <c r="C102" s="153" t="s">
        <v>1279</v>
      </c>
      <c r="D102" s="154" t="s">
        <v>1391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1503</v>
      </c>
      <c r="C103" s="153" t="s">
        <v>1267</v>
      </c>
      <c r="D103" s="154" t="s">
        <v>1280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1503</v>
      </c>
      <c r="C104" s="153" t="s">
        <v>1270</v>
      </c>
      <c r="D104" s="154" t="s">
        <v>1280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1503</v>
      </c>
      <c r="C105" s="153" t="s">
        <v>1279</v>
      </c>
      <c r="D105" s="154" t="s">
        <v>1280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1509</v>
      </c>
      <c r="C106" s="153" t="s">
        <v>1267</v>
      </c>
      <c r="D106" s="154" t="s">
        <v>1398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1509</v>
      </c>
      <c r="C107" s="153" t="s">
        <v>1279</v>
      </c>
      <c r="D107" s="154" t="s">
        <v>1398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1713</v>
      </c>
      <c r="C108" s="153" t="s">
        <v>1279</v>
      </c>
      <c r="D108" s="154" t="s">
        <v>1774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1531</v>
      </c>
      <c r="C109" s="153" t="s">
        <v>1279</v>
      </c>
      <c r="D109" s="154" t="s">
        <v>1707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1501</v>
      </c>
      <c r="C110" s="153" t="s">
        <v>1270</v>
      </c>
      <c r="D110" s="154" t="s">
        <v>1380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1501</v>
      </c>
      <c r="C111" s="153" t="s">
        <v>1279</v>
      </c>
      <c r="D111" s="154" t="s">
        <v>1380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1523</v>
      </c>
      <c r="C112" s="153" t="s">
        <v>1267</v>
      </c>
      <c r="D112" s="154" t="s">
        <v>1396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1523</v>
      </c>
      <c r="C113" s="153" t="s">
        <v>1279</v>
      </c>
      <c r="D113" s="154" t="s">
        <v>1396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1504</v>
      </c>
      <c r="C114" s="153" t="s">
        <v>1279</v>
      </c>
      <c r="D114" s="154" t="s">
        <v>1389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1281</v>
      </c>
      <c r="C115" s="153" t="s">
        <v>1267</v>
      </c>
      <c r="D115" s="154" t="s">
        <v>1382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1281</v>
      </c>
      <c r="C116" s="153" t="s">
        <v>1270</v>
      </c>
      <c r="D116" s="154" t="s">
        <v>1382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1711</v>
      </c>
      <c r="C117" s="153" t="s">
        <v>1313</v>
      </c>
      <c r="D117" s="154" t="s">
        <v>1775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1506</v>
      </c>
      <c r="C118" s="153" t="s">
        <v>1279</v>
      </c>
      <c r="D118" s="154" t="s">
        <v>1280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1710</v>
      </c>
      <c r="C119" s="153" t="s">
        <v>1279</v>
      </c>
      <c r="D119" s="154" t="s">
        <v>1774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1726</v>
      </c>
      <c r="C120" s="153" t="s">
        <v>1279</v>
      </c>
      <c r="D120" s="154" t="s">
        <v>1707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1282</v>
      </c>
      <c r="C121" s="153" t="s">
        <v>1279</v>
      </c>
      <c r="D121" s="154" t="s">
        <v>1380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1705</v>
      </c>
      <c r="C122" s="153" t="s">
        <v>1267</v>
      </c>
      <c r="D122" s="154" t="s">
        <v>1396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1705</v>
      </c>
      <c r="C123" s="153" t="s">
        <v>1279</v>
      </c>
      <c r="D123" s="154" t="s">
        <v>1396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1704</v>
      </c>
      <c r="C124" s="153" t="s">
        <v>1267</v>
      </c>
      <c r="D124" s="154" t="s">
        <v>1745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1704</v>
      </c>
      <c r="C125" s="153" t="s">
        <v>1279</v>
      </c>
      <c r="D125" s="154" t="s">
        <v>1745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1284</v>
      </c>
      <c r="C126" s="153" t="s">
        <v>1267</v>
      </c>
      <c r="D126" s="154" t="s">
        <v>1389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1284</v>
      </c>
      <c r="C127" s="153" t="s">
        <v>1279</v>
      </c>
      <c r="D127" s="154" t="s">
        <v>1389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1708</v>
      </c>
      <c r="C128" s="153" t="s">
        <v>1267</v>
      </c>
      <c r="D128" s="154" t="s">
        <v>1744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1708</v>
      </c>
      <c r="C129" s="153" t="s">
        <v>1279</v>
      </c>
      <c r="D129" s="154" t="s">
        <v>1744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1283</v>
      </c>
      <c r="C130" s="153" t="s">
        <v>1267</v>
      </c>
      <c r="D130" s="154" t="s">
        <v>1382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1283</v>
      </c>
      <c r="C131" s="153" t="s">
        <v>1270</v>
      </c>
      <c r="D131" s="154" t="s">
        <v>1382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1716</v>
      </c>
      <c r="C132" s="153" t="s">
        <v>1279</v>
      </c>
      <c r="D132" s="154" t="s">
        <v>1391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1607</v>
      </c>
      <c r="C133" s="153" t="s">
        <v>1279</v>
      </c>
      <c r="D133" s="154" t="s">
        <v>1280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1608</v>
      </c>
      <c r="C134" s="153" t="s">
        <v>1267</v>
      </c>
      <c r="D134" s="154" t="s">
        <v>1398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1608</v>
      </c>
      <c r="C135" s="153" t="s">
        <v>1270</v>
      </c>
      <c r="D135" s="154" t="s">
        <v>1398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1608</v>
      </c>
      <c r="C136" s="153" t="s">
        <v>1279</v>
      </c>
      <c r="D136" s="154" t="s">
        <v>1398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1727</v>
      </c>
      <c r="C137" s="153" t="s">
        <v>1279</v>
      </c>
      <c r="D137" s="154" t="s">
        <v>1774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1730</v>
      </c>
      <c r="C138" s="153" t="s">
        <v>1279</v>
      </c>
      <c r="D138" s="154" t="s">
        <v>1393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1721</v>
      </c>
      <c r="C139" s="153" t="s">
        <v>1279</v>
      </c>
      <c r="D139" s="154" t="s">
        <v>1707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1507</v>
      </c>
      <c r="C140" s="153" t="s">
        <v>1270</v>
      </c>
      <c r="D140" s="154" t="s">
        <v>1380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1507</v>
      </c>
      <c r="C141" s="153" t="s">
        <v>1279</v>
      </c>
      <c r="D141" s="154" t="s">
        <v>1380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1611</v>
      </c>
      <c r="C142" s="153" t="s">
        <v>1267</v>
      </c>
      <c r="D142" s="154" t="s">
        <v>1396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1611</v>
      </c>
      <c r="C143" s="153" t="s">
        <v>1279</v>
      </c>
      <c r="D143" s="154" t="s">
        <v>1396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1499</v>
      </c>
      <c r="C144" s="153" t="s">
        <v>1313</v>
      </c>
      <c r="D144" s="154" t="s">
        <v>1613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1499</v>
      </c>
      <c r="C145" s="153" t="s">
        <v>1267</v>
      </c>
      <c r="D145" s="154" t="s">
        <v>1613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1499</v>
      </c>
      <c r="C146" s="153" t="s">
        <v>1270</v>
      </c>
      <c r="D146" s="154" t="s">
        <v>1613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1499</v>
      </c>
      <c r="C147" s="153" t="s">
        <v>1279</v>
      </c>
      <c r="D147" s="154" t="s">
        <v>1613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1720</v>
      </c>
      <c r="C148" s="153" t="s">
        <v>1267</v>
      </c>
      <c r="D148" s="154" t="s">
        <v>1389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1720</v>
      </c>
      <c r="C149" s="153" t="s">
        <v>1279</v>
      </c>
      <c r="D149" s="154" t="s">
        <v>1389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1698</v>
      </c>
      <c r="C150" s="153" t="s">
        <v>1267</v>
      </c>
      <c r="D150" s="154" t="s">
        <v>1744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1698</v>
      </c>
      <c r="C151" s="153" t="s">
        <v>1279</v>
      </c>
      <c r="D151" s="154" t="s">
        <v>1744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1616</v>
      </c>
      <c r="C152" s="153" t="s">
        <v>1267</v>
      </c>
      <c r="D152" s="154" t="s">
        <v>1382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1616</v>
      </c>
      <c r="C153" s="153" t="s">
        <v>1279</v>
      </c>
      <c r="D153" s="154" t="s">
        <v>1382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1718</v>
      </c>
      <c r="C154" s="153" t="s">
        <v>1279</v>
      </c>
      <c r="D154" s="154" t="s">
        <v>1394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1709</v>
      </c>
      <c r="C155" s="153" t="s">
        <v>1313</v>
      </c>
      <c r="D155" s="154" t="s">
        <v>1775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1697</v>
      </c>
      <c r="C156" s="153" t="s">
        <v>1279</v>
      </c>
      <c r="D156" s="154" t="s">
        <v>1391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1617</v>
      </c>
      <c r="C157" s="153" t="s">
        <v>1267</v>
      </c>
      <c r="D157" s="154" t="s">
        <v>1280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1715</v>
      </c>
      <c r="C158" s="153" t="s">
        <v>1279</v>
      </c>
      <c r="D158" s="154" t="s">
        <v>1774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1729</v>
      </c>
      <c r="C159" s="153" t="s">
        <v>1267</v>
      </c>
      <c r="D159" s="154" t="s">
        <v>1707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1618</v>
      </c>
      <c r="C160" s="153" t="s">
        <v>1279</v>
      </c>
      <c r="D160" s="154" t="s">
        <v>1380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1689</v>
      </c>
      <c r="C161" s="153" t="s">
        <v>1267</v>
      </c>
      <c r="D161" s="154" t="s">
        <v>1396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1689</v>
      </c>
      <c r="C162" s="153" t="s">
        <v>1279</v>
      </c>
      <c r="D162" s="154" t="s">
        <v>1396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1693</v>
      </c>
      <c r="C163" s="153" t="s">
        <v>1267</v>
      </c>
      <c r="D163" s="154" t="s">
        <v>1385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1619</v>
      </c>
      <c r="C164" s="153" t="s">
        <v>1267</v>
      </c>
      <c r="D164" s="154" t="s">
        <v>1620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1619</v>
      </c>
      <c r="C165" s="153" t="s">
        <v>1279</v>
      </c>
      <c r="D165" s="154" t="s">
        <v>1620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1530</v>
      </c>
      <c r="C166" s="153" t="s">
        <v>1270</v>
      </c>
      <c r="D166" s="154" t="s">
        <v>1744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1703</v>
      </c>
      <c r="C167" s="153" t="s">
        <v>1267</v>
      </c>
      <c r="D167" s="154" t="s">
        <v>1280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1701</v>
      </c>
      <c r="C168" s="153" t="s">
        <v>1270</v>
      </c>
      <c r="D168" s="154" t="s">
        <v>1744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1528</v>
      </c>
      <c r="C169" s="153" t="s">
        <v>1270</v>
      </c>
      <c r="D169" s="154" t="s">
        <v>1744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1605</v>
      </c>
      <c r="C170" s="153" t="s">
        <v>1267</v>
      </c>
      <c r="D170" s="154" t="s">
        <v>1280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1512</v>
      </c>
      <c r="C171" s="153" t="s">
        <v>1267</v>
      </c>
      <c r="D171" s="154" t="s">
        <v>1389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1514</v>
      </c>
      <c r="C172" s="153" t="s">
        <v>1270</v>
      </c>
      <c r="D172" s="154" t="s">
        <v>1744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1501</v>
      </c>
      <c r="C173" s="153" t="s">
        <v>1267</v>
      </c>
      <c r="D173" s="154" t="s">
        <v>1380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1708</v>
      </c>
      <c r="C174" s="153" t="s">
        <v>1270</v>
      </c>
      <c r="D174" s="154" t="s">
        <v>1744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1283</v>
      </c>
      <c r="C175" s="153" t="s">
        <v>1279</v>
      </c>
      <c r="D175" s="154" t="s">
        <v>1382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1611</v>
      </c>
      <c r="C176" s="153" t="s">
        <v>1270</v>
      </c>
      <c r="D176" s="154" t="s">
        <v>1396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1616</v>
      </c>
      <c r="C177" s="153" t="s">
        <v>1270</v>
      </c>
      <c r="D177" s="154" t="s">
        <v>1382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1612</v>
      </c>
      <c r="C178" s="153" t="s">
        <v>1279</v>
      </c>
      <c r="D178" s="154" t="s">
        <v>1385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1537</v>
      </c>
      <c r="C179" s="153" t="s">
        <v>1267</v>
      </c>
      <c r="D179" s="154" t="s">
        <v>1615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1537</v>
      </c>
      <c r="C180" s="153" t="s">
        <v>1279</v>
      </c>
      <c r="D180" s="154" t="s">
        <v>1615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1776</v>
      </c>
      <c r="C181" s="153" t="s">
        <v>1279</v>
      </c>
      <c r="D181" s="154" t="s">
        <v>1398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1534</v>
      </c>
      <c r="C182" s="153" t="s">
        <v>1279</v>
      </c>
      <c r="D182" s="154" t="s">
        <v>1385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1777</v>
      </c>
      <c r="C183" s="153" t="s">
        <v>1267</v>
      </c>
      <c r="D183" s="154" t="s">
        <v>1615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1527</v>
      </c>
      <c r="C184" s="153" t="s">
        <v>1267</v>
      </c>
      <c r="D184" s="154" t="s">
        <v>1394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1778</v>
      </c>
      <c r="C185" s="153" t="s">
        <v>1267</v>
      </c>
      <c r="D185" s="154" t="s">
        <v>1394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1614</v>
      </c>
      <c r="C186" s="153" t="s">
        <v>1279</v>
      </c>
      <c r="D186" s="154" t="s">
        <v>1615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1491</v>
      </c>
      <c r="C187" s="13" t="s">
        <v>1270</v>
      </c>
      <c r="D187" s="128" t="s">
        <v>1744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1491</v>
      </c>
      <c r="C188" s="13" t="s">
        <v>1267</v>
      </c>
      <c r="D188" s="128" t="s">
        <v>1744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1491</v>
      </c>
      <c r="C189" s="13" t="s">
        <v>1279</v>
      </c>
      <c r="D189" s="128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1492</v>
      </c>
      <c r="C190" s="13" t="s">
        <v>1267</v>
      </c>
      <c r="D190" s="128" t="s">
        <v>1613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1395</v>
      </c>
      <c r="C191" s="13" t="s">
        <v>1267</v>
      </c>
      <c r="D191" s="128" t="s">
        <v>1396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1379</v>
      </c>
      <c r="C192" s="13" t="s">
        <v>1270</v>
      </c>
      <c r="D192" s="128" t="s">
        <v>1380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1383</v>
      </c>
      <c r="C193" s="13" t="s">
        <v>1270</v>
      </c>
      <c r="D193" s="128" t="s">
        <v>1280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1397</v>
      </c>
      <c r="C194" s="13" t="s">
        <v>1279</v>
      </c>
      <c r="D194" s="128" t="s">
        <v>1398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1492</v>
      </c>
      <c r="C195" s="13" t="s">
        <v>1279</v>
      </c>
      <c r="D195" s="128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1381</v>
      </c>
      <c r="C196" s="13" t="s">
        <v>1279</v>
      </c>
      <c r="D196" s="128" t="s">
        <v>1382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1492</v>
      </c>
      <c r="C197" s="13" t="s">
        <v>1270</v>
      </c>
      <c r="D197" s="128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1395</v>
      </c>
      <c r="C198" s="13" t="s">
        <v>1279</v>
      </c>
      <c r="D198" s="128" t="s">
        <v>1396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1388</v>
      </c>
      <c r="C199" s="13" t="s">
        <v>1270</v>
      </c>
      <c r="D199" s="128" t="s">
        <v>1389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1493</v>
      </c>
      <c r="C200" s="13" t="s">
        <v>1279</v>
      </c>
      <c r="D200" s="128" t="s">
        <v>1707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1388</v>
      </c>
      <c r="C201" s="13" t="s">
        <v>1279</v>
      </c>
      <c r="D201" s="128" t="s">
        <v>1389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1384</v>
      </c>
      <c r="C202" s="13" t="s">
        <v>1279</v>
      </c>
      <c r="D202" s="128" t="s">
        <v>1385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1397</v>
      </c>
      <c r="C203" s="13" t="s">
        <v>1270</v>
      </c>
      <c r="D203" s="128" t="s">
        <v>1398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1392</v>
      </c>
      <c r="C204" s="13" t="s">
        <v>1279</v>
      </c>
      <c r="D204" s="128" t="s">
        <v>1393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1386</v>
      </c>
      <c r="C205" s="13" t="s">
        <v>1267</v>
      </c>
      <c r="D205" s="128" t="s">
        <v>1387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1494</v>
      </c>
      <c r="C206" s="13" t="s">
        <v>1267</v>
      </c>
      <c r="D206" s="128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1388</v>
      </c>
      <c r="C207" s="13" t="s">
        <v>1267</v>
      </c>
      <c r="D207" s="128" t="s">
        <v>1389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1494</v>
      </c>
      <c r="C208" s="13" t="s">
        <v>1279</v>
      </c>
      <c r="D208" s="128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1377</v>
      </c>
      <c r="C209" s="13" t="s">
        <v>1267</v>
      </c>
      <c r="D209" s="128" t="s">
        <v>1378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1495</v>
      </c>
      <c r="C210" s="13" t="s">
        <v>1279</v>
      </c>
      <c r="D210" s="128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1384</v>
      </c>
      <c r="C211" s="13" t="s">
        <v>1267</v>
      </c>
      <c r="D211" s="128" t="s">
        <v>1385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1496</v>
      </c>
      <c r="C212" s="13" t="s">
        <v>1279</v>
      </c>
      <c r="D212" s="128" t="s">
        <v>1615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1377</v>
      </c>
      <c r="C213" s="13" t="s">
        <v>1279</v>
      </c>
      <c r="D213" s="128" t="s">
        <v>1378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1377</v>
      </c>
      <c r="C214" s="13" t="s">
        <v>1270</v>
      </c>
      <c r="D214" s="128" t="s">
        <v>1378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1390</v>
      </c>
      <c r="C215" s="13" t="s">
        <v>1270</v>
      </c>
      <c r="D215" s="128" t="s">
        <v>1391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1383</v>
      </c>
      <c r="C216" s="13" t="s">
        <v>1279</v>
      </c>
      <c r="D216" s="128" t="s">
        <v>1280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1494</v>
      </c>
      <c r="C217" s="13" t="s">
        <v>1313</v>
      </c>
      <c r="D217" s="128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1390</v>
      </c>
      <c r="C218" s="13" t="s">
        <v>1279</v>
      </c>
      <c r="D218" s="128" t="s">
        <v>1391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1383</v>
      </c>
      <c r="C219" s="13" t="s">
        <v>1267</v>
      </c>
      <c r="D219" s="128" t="s">
        <v>1280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1496</v>
      </c>
      <c r="C220" s="13" t="s">
        <v>1267</v>
      </c>
      <c r="D220" s="128" t="s">
        <v>1615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1397</v>
      </c>
      <c r="C221" s="13" t="s">
        <v>1267</v>
      </c>
      <c r="D221" s="128" t="s">
        <v>1398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1390</v>
      </c>
      <c r="C222" s="13" t="s">
        <v>1267</v>
      </c>
      <c r="D222" s="128" t="s">
        <v>1391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1493</v>
      </c>
      <c r="C223" s="13" t="s">
        <v>1267</v>
      </c>
      <c r="D223" s="128" t="s">
        <v>1707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1381</v>
      </c>
      <c r="C224" s="13" t="s">
        <v>1267</v>
      </c>
      <c r="D224" s="128" t="s">
        <v>1382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1379</v>
      </c>
      <c r="C225" s="13" t="s">
        <v>1279</v>
      </c>
      <c r="D225" s="128" t="s">
        <v>1380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1497</v>
      </c>
      <c r="C226" s="13" t="s">
        <v>1279</v>
      </c>
      <c r="D226" s="128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1498</v>
      </c>
      <c r="C227" s="13" t="s">
        <v>1267</v>
      </c>
      <c r="D227" s="128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1499</v>
      </c>
      <c r="C228" s="13" t="s">
        <v>1270</v>
      </c>
      <c r="D228" s="128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1497</v>
      </c>
      <c r="C229" s="13" t="s">
        <v>1267</v>
      </c>
      <c r="D229" s="128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1500</v>
      </c>
      <c r="C230" s="13" t="s">
        <v>1267</v>
      </c>
      <c r="D230" s="128" t="s">
        <v>1389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1281</v>
      </c>
      <c r="C231" s="13" t="s">
        <v>1267</v>
      </c>
      <c r="D231" s="128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1501</v>
      </c>
      <c r="C232" s="13" t="s">
        <v>1270</v>
      </c>
      <c r="D232" s="128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1269</v>
      </c>
      <c r="C233" s="13" t="s">
        <v>1270</v>
      </c>
      <c r="D233" s="128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1499</v>
      </c>
      <c r="C234" s="13" t="s">
        <v>1267</v>
      </c>
      <c r="D234" s="128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1502</v>
      </c>
      <c r="C235" s="13" t="s">
        <v>1267</v>
      </c>
      <c r="D235" s="128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1501</v>
      </c>
      <c r="C236" s="13" t="s">
        <v>1267</v>
      </c>
      <c r="D236" s="128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1269</v>
      </c>
      <c r="C237" s="13" t="s">
        <v>1267</v>
      </c>
      <c r="D237" s="128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1501</v>
      </c>
      <c r="C238" s="13" t="s">
        <v>1279</v>
      </c>
      <c r="D238" s="128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1275</v>
      </c>
      <c r="C239" s="13" t="s">
        <v>1313</v>
      </c>
      <c r="D239" s="128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1282</v>
      </c>
      <c r="C240" s="13" t="s">
        <v>1270</v>
      </c>
      <c r="D240" s="128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1283</v>
      </c>
      <c r="C241" s="13" t="s">
        <v>1267</v>
      </c>
      <c r="D241" s="128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1503</v>
      </c>
      <c r="C242" s="13" t="s">
        <v>1279</v>
      </c>
      <c r="D242" s="128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1504</v>
      </c>
      <c r="C243" s="13" t="s">
        <v>1279</v>
      </c>
      <c r="D243" s="128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1505</v>
      </c>
      <c r="C244" s="13" t="s">
        <v>1313</v>
      </c>
      <c r="D244" s="128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1266</v>
      </c>
      <c r="C245" s="13" t="s">
        <v>1267</v>
      </c>
      <c r="D245" s="128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1281</v>
      </c>
      <c r="C246" s="13" t="s">
        <v>1313</v>
      </c>
      <c r="D246" s="128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1266</v>
      </c>
      <c r="C247" s="13" t="s">
        <v>1313</v>
      </c>
      <c r="D247" s="128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1275</v>
      </c>
      <c r="C248" s="13" t="s">
        <v>1267</v>
      </c>
      <c r="D248" s="128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1506</v>
      </c>
      <c r="C249" s="13" t="s">
        <v>1279</v>
      </c>
      <c r="D249" s="128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1507</v>
      </c>
      <c r="C250" s="13" t="s">
        <v>1270</v>
      </c>
      <c r="D250" s="128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1506</v>
      </c>
      <c r="C251" s="13" t="s">
        <v>1313</v>
      </c>
      <c r="D251" s="128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1276</v>
      </c>
      <c r="C252" s="13" t="s">
        <v>1270</v>
      </c>
      <c r="D252" s="128" t="s">
        <v>1380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1276</v>
      </c>
      <c r="C253" s="13" t="s">
        <v>1279</v>
      </c>
      <c r="D253" s="128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1276</v>
      </c>
      <c r="C254" s="13" t="s">
        <v>1267</v>
      </c>
      <c r="D254" s="128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1278</v>
      </c>
      <c r="C255" s="13" t="s">
        <v>1267</v>
      </c>
      <c r="D255" s="128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1275</v>
      </c>
      <c r="C256" s="13" t="s">
        <v>1270</v>
      </c>
      <c r="D256" s="128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1275</v>
      </c>
      <c r="C257" s="13" t="s">
        <v>1279</v>
      </c>
      <c r="D257" s="128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1508</v>
      </c>
      <c r="C258" s="13" t="s">
        <v>1267</v>
      </c>
      <c r="D258" s="128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1509</v>
      </c>
      <c r="C259" s="13" t="s">
        <v>1267</v>
      </c>
      <c r="D259" s="128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1510</v>
      </c>
      <c r="C260" s="13" t="s">
        <v>1279</v>
      </c>
      <c r="D260" s="128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1506</v>
      </c>
      <c r="C261" s="13" t="s">
        <v>1267</v>
      </c>
      <c r="D261" s="128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1511</v>
      </c>
      <c r="C262" s="13" t="s">
        <v>1267</v>
      </c>
      <c r="D262" s="128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1507</v>
      </c>
      <c r="C263" s="13" t="s">
        <v>1267</v>
      </c>
      <c r="D263" s="128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1512</v>
      </c>
      <c r="C264" s="13" t="s">
        <v>1279</v>
      </c>
      <c r="D264" s="128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1513</v>
      </c>
      <c r="C265" s="13" t="s">
        <v>1267</v>
      </c>
      <c r="D265" s="128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1282</v>
      </c>
      <c r="C266" s="13" t="s">
        <v>1267</v>
      </c>
      <c r="D266" s="128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1511</v>
      </c>
      <c r="C267" s="13" t="s">
        <v>1279</v>
      </c>
      <c r="D267" s="128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1514</v>
      </c>
      <c r="C268" s="13" t="s">
        <v>1267</v>
      </c>
      <c r="D268" s="128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1277</v>
      </c>
      <c r="C269" s="13" t="s">
        <v>1267</v>
      </c>
      <c r="D269" s="128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1515</v>
      </c>
      <c r="C270" s="13" t="s">
        <v>1267</v>
      </c>
      <c r="D270" s="128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1499</v>
      </c>
      <c r="C271" s="13" t="s">
        <v>1279</v>
      </c>
      <c r="D271" s="128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1515</v>
      </c>
      <c r="C272" s="13" t="s">
        <v>1279</v>
      </c>
      <c r="D272" s="128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1516</v>
      </c>
      <c r="C273" s="13" t="s">
        <v>1267</v>
      </c>
      <c r="D273" s="128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1512</v>
      </c>
      <c r="C274" s="13" t="s">
        <v>1267</v>
      </c>
      <c r="D274" s="128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1269</v>
      </c>
      <c r="C275" s="13" t="s">
        <v>1279</v>
      </c>
      <c r="D275" s="128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1504</v>
      </c>
      <c r="C276" s="13" t="s">
        <v>1267</v>
      </c>
      <c r="D276" s="128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1508</v>
      </c>
      <c r="C277" s="70" t="s">
        <v>1279</v>
      </c>
      <c r="D277" s="128" t="s">
        <v>1396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1282</v>
      </c>
      <c r="C278" s="70" t="s">
        <v>1279</v>
      </c>
      <c r="D278" s="128" t="s">
        <v>1380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1517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1518</v>
      </c>
      <c r="C280" s="70" t="s">
        <v>1279</v>
      </c>
      <c r="D280" s="128" t="s">
        <v>1396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1519</v>
      </c>
      <c r="C281" s="70" t="s">
        <v>1267</v>
      </c>
      <c r="D281" s="128" t="s">
        <v>1604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1520</v>
      </c>
      <c r="C282" s="70" t="s">
        <v>1279</v>
      </c>
      <c r="D282" s="128" t="s">
        <v>1396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1518</v>
      </c>
      <c r="C283" s="70" t="s">
        <v>1267</v>
      </c>
      <c r="D283" s="128" t="s">
        <v>1396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1521</v>
      </c>
      <c r="C284" s="70" t="s">
        <v>1267</v>
      </c>
      <c r="D284" s="128" t="s">
        <v>1394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1522</v>
      </c>
      <c r="C285" s="70" t="s">
        <v>1267</v>
      </c>
      <c r="D285" s="128" t="s">
        <v>1394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1523</v>
      </c>
      <c r="C286" s="70" t="s">
        <v>1279</v>
      </c>
      <c r="D286" s="128" t="s">
        <v>1396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1524</v>
      </c>
      <c r="C287" s="70" t="s">
        <v>1267</v>
      </c>
      <c r="D287" s="128" t="s">
        <v>1615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1525</v>
      </c>
      <c r="C288" s="70" t="s">
        <v>1267</v>
      </c>
      <c r="D288" s="128" t="s">
        <v>1398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1526</v>
      </c>
      <c r="C289" s="70" t="s">
        <v>1267</v>
      </c>
      <c r="D289" s="128" t="s">
        <v>1745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1527</v>
      </c>
      <c r="C290" s="70" t="s">
        <v>1267</v>
      </c>
      <c r="D290" s="128" t="s">
        <v>1394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1528</v>
      </c>
      <c r="C291" s="70" t="s">
        <v>1267</v>
      </c>
      <c r="D291" s="128" t="s">
        <v>1744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1529</v>
      </c>
      <c r="C292" s="70" t="s">
        <v>1267</v>
      </c>
      <c r="D292" s="128" t="s">
        <v>1620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1530</v>
      </c>
      <c r="C293" s="70" t="s">
        <v>1267</v>
      </c>
      <c r="D293" s="128" t="s">
        <v>1744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1531</v>
      </c>
      <c r="C294" s="70" t="s">
        <v>1267</v>
      </c>
      <c r="D294" s="128" t="s">
        <v>1707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1532</v>
      </c>
      <c r="C295" s="70" t="s">
        <v>1267</v>
      </c>
      <c r="D295" s="128" t="s">
        <v>1615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1510</v>
      </c>
      <c r="C296" s="70" t="s">
        <v>1267</v>
      </c>
      <c r="D296" s="128" t="s">
        <v>1391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1503</v>
      </c>
      <c r="C297" s="70" t="s">
        <v>1313</v>
      </c>
      <c r="D297" s="128" t="s">
        <v>1280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1533</v>
      </c>
      <c r="C298" s="70" t="s">
        <v>1267</v>
      </c>
      <c r="D298" s="128" t="s">
        <v>1385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1534</v>
      </c>
      <c r="C299" s="70" t="s">
        <v>1267</v>
      </c>
      <c r="D299" s="128" t="s">
        <v>1385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1535</v>
      </c>
      <c r="C300" s="70" t="s">
        <v>1267</v>
      </c>
      <c r="D300" s="128" t="s">
        <v>1744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1536</v>
      </c>
      <c r="C301" s="70" t="s">
        <v>1267</v>
      </c>
      <c r="D301" s="128" t="s">
        <v>1391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1537</v>
      </c>
      <c r="C302" s="70" t="s">
        <v>1267</v>
      </c>
      <c r="D302" s="128" t="s">
        <v>1615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1538</v>
      </c>
      <c r="C303" s="70" t="s">
        <v>1267</v>
      </c>
      <c r="D303" s="128" t="s">
        <v>1382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1507</v>
      </c>
      <c r="C304" s="70" t="s">
        <v>1279</v>
      </c>
      <c r="D304" s="128" t="s">
        <v>1380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1500</v>
      </c>
      <c r="C305" s="38" t="s">
        <v>1267</v>
      </c>
      <c r="D305" s="65" t="s">
        <v>1389</v>
      </c>
      <c r="E305" s="38">
        <v>6</v>
      </c>
      <c r="F305" s="38">
        <v>2</v>
      </c>
      <c r="G305" s="38">
        <v>1</v>
      </c>
      <c r="H305" s="38">
        <v>2</v>
      </c>
      <c r="I305" s="261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1269</v>
      </c>
      <c r="C306" s="38" t="s">
        <v>1270</v>
      </c>
      <c r="D306" s="65" t="s">
        <v>1380</v>
      </c>
      <c r="E306" s="38">
        <v>1</v>
      </c>
      <c r="F306" s="38"/>
      <c r="G306" s="38"/>
      <c r="H306" s="38"/>
      <c r="I306" s="261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1518</v>
      </c>
      <c r="C307" s="38" t="s">
        <v>1267</v>
      </c>
      <c r="D307" s="65" t="s">
        <v>1396</v>
      </c>
      <c r="E307" s="38"/>
      <c r="F307" s="38">
        <v>1</v>
      </c>
      <c r="G307" s="38"/>
      <c r="H307" s="38"/>
      <c r="I307" s="261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1497</v>
      </c>
      <c r="C308" s="38" t="s">
        <v>1267</v>
      </c>
      <c r="D308" s="65" t="s">
        <v>1604</v>
      </c>
      <c r="E308" s="38"/>
      <c r="F308" s="38"/>
      <c r="G308" s="38">
        <v>1</v>
      </c>
      <c r="H308" s="38"/>
      <c r="I308" s="261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1497</v>
      </c>
      <c r="C309" s="38" t="s">
        <v>1279</v>
      </c>
      <c r="D309" s="65" t="s">
        <v>1604</v>
      </c>
      <c r="E309" s="38">
        <v>5</v>
      </c>
      <c r="F309" s="38">
        <v>13</v>
      </c>
      <c r="G309" s="38">
        <v>9</v>
      </c>
      <c r="H309" s="38">
        <v>9</v>
      </c>
      <c r="I309" s="261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1498</v>
      </c>
      <c r="C310" s="38" t="s">
        <v>1313</v>
      </c>
      <c r="D310" s="65" t="s">
        <v>1378</v>
      </c>
      <c r="E310" s="38"/>
      <c r="F310" s="38"/>
      <c r="G310" s="38"/>
      <c r="H310" s="38"/>
      <c r="I310" s="261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1498</v>
      </c>
      <c r="C311" s="38" t="s">
        <v>1267</v>
      </c>
      <c r="D311" s="65" t="s">
        <v>1378</v>
      </c>
      <c r="E311" s="38">
        <v>3</v>
      </c>
      <c r="F311" s="38"/>
      <c r="G311" s="38">
        <v>2</v>
      </c>
      <c r="H311" s="38">
        <v>2</v>
      </c>
      <c r="I311" s="261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1498</v>
      </c>
      <c r="C312" s="38" t="s">
        <v>1279</v>
      </c>
      <c r="D312" s="65" t="s">
        <v>1378</v>
      </c>
      <c r="E312" s="38">
        <v>1</v>
      </c>
      <c r="F312" s="38">
        <v>1</v>
      </c>
      <c r="G312" s="38"/>
      <c r="H312" s="38"/>
      <c r="I312" s="261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1605</v>
      </c>
      <c r="C313" s="38" t="s">
        <v>1267</v>
      </c>
      <c r="D313" s="65" t="s">
        <v>1280</v>
      </c>
      <c r="E313" s="38">
        <v>2</v>
      </c>
      <c r="F313" s="38">
        <v>1</v>
      </c>
      <c r="G313" s="38">
        <v>1</v>
      </c>
      <c r="H313" s="38">
        <v>1</v>
      </c>
      <c r="I313" s="261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1605</v>
      </c>
      <c r="C314" s="38" t="s">
        <v>1279</v>
      </c>
      <c r="D314" s="65" t="s">
        <v>1280</v>
      </c>
      <c r="E314" s="38">
        <v>1</v>
      </c>
      <c r="F314" s="38">
        <v>1</v>
      </c>
      <c r="G314" s="38"/>
      <c r="H314" s="38"/>
      <c r="I314" s="261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1515</v>
      </c>
      <c r="C315" s="38" t="s">
        <v>1267</v>
      </c>
      <c r="D315" s="65" t="s">
        <v>1385</v>
      </c>
      <c r="E315" s="38"/>
      <c r="F315" s="38">
        <v>1</v>
      </c>
      <c r="G315" s="38">
        <v>6</v>
      </c>
      <c r="H315" s="38"/>
      <c r="I315" s="261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1515</v>
      </c>
      <c r="C316" s="38" t="s">
        <v>1279</v>
      </c>
      <c r="D316" s="65" t="s">
        <v>1385</v>
      </c>
      <c r="E316" s="38">
        <v>1</v>
      </c>
      <c r="F316" s="38"/>
      <c r="G316" s="38"/>
      <c r="H316" s="38"/>
      <c r="I316" s="261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1512</v>
      </c>
      <c r="C317" s="38" t="s">
        <v>1267</v>
      </c>
      <c r="D317" s="65" t="s">
        <v>1389</v>
      </c>
      <c r="E317" s="38">
        <v>1</v>
      </c>
      <c r="F317" s="38"/>
      <c r="G317" s="38"/>
      <c r="H317" s="38"/>
      <c r="I317" s="261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1512</v>
      </c>
      <c r="C318" s="38" t="s">
        <v>1279</v>
      </c>
      <c r="D318" s="65" t="s">
        <v>1389</v>
      </c>
      <c r="E318" s="38"/>
      <c r="F318" s="38">
        <v>1</v>
      </c>
      <c r="G318" s="38"/>
      <c r="H318" s="38"/>
      <c r="I318" s="261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1501</v>
      </c>
      <c r="C319" s="38" t="s">
        <v>1270</v>
      </c>
      <c r="D319" s="65" t="s">
        <v>1380</v>
      </c>
      <c r="E319" s="38">
        <v>22</v>
      </c>
      <c r="F319" s="38">
        <v>18</v>
      </c>
      <c r="G319" s="38">
        <v>23</v>
      </c>
      <c r="H319" s="38">
        <v>24</v>
      </c>
      <c r="I319" s="261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1284</v>
      </c>
      <c r="C320" s="38" t="s">
        <v>1267</v>
      </c>
      <c r="D320" s="65" t="s">
        <v>1389</v>
      </c>
      <c r="E320" s="38">
        <v>1</v>
      </c>
      <c r="F320" s="38"/>
      <c r="G320" s="38"/>
      <c r="H320" s="38">
        <v>1</v>
      </c>
      <c r="I320" s="261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1284</v>
      </c>
      <c r="C321" s="38" t="s">
        <v>1279</v>
      </c>
      <c r="D321" s="65" t="s">
        <v>1389</v>
      </c>
      <c r="E321" s="38">
        <v>29</v>
      </c>
      <c r="F321" s="38">
        <v>31</v>
      </c>
      <c r="G321" s="38">
        <v>28</v>
      </c>
      <c r="H321" s="38">
        <v>36</v>
      </c>
      <c r="I321" s="261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1283</v>
      </c>
      <c r="C322" s="38" t="s">
        <v>1267</v>
      </c>
      <c r="D322" s="65" t="s">
        <v>1382</v>
      </c>
      <c r="E322" s="38">
        <v>1</v>
      </c>
      <c r="F322" s="38">
        <v>3</v>
      </c>
      <c r="G322" s="38">
        <v>5</v>
      </c>
      <c r="H322" s="38"/>
      <c r="I322" s="261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1283</v>
      </c>
      <c r="C323" s="38" t="s">
        <v>1279</v>
      </c>
      <c r="D323" s="65" t="s">
        <v>1382</v>
      </c>
      <c r="E323" s="38"/>
      <c r="F323" s="38"/>
      <c r="G323" s="38">
        <v>1</v>
      </c>
      <c r="H323" s="38"/>
      <c r="I323" s="261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1606</v>
      </c>
      <c r="C324" s="38" t="s">
        <v>1279</v>
      </c>
      <c r="D324" s="65" t="s">
        <v>1394</v>
      </c>
      <c r="E324" s="38">
        <v>1</v>
      </c>
      <c r="F324" s="38"/>
      <c r="G324" s="38"/>
      <c r="H324" s="38"/>
      <c r="I324" s="261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1607</v>
      </c>
      <c r="C325" s="38" t="s">
        <v>1267</v>
      </c>
      <c r="D325" s="65" t="s">
        <v>1280</v>
      </c>
      <c r="E325" s="38">
        <v>1</v>
      </c>
      <c r="F325" s="38"/>
      <c r="G325" s="38"/>
      <c r="H325" s="38"/>
      <c r="I325" s="261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1607</v>
      </c>
      <c r="C326" s="38" t="s">
        <v>1279</v>
      </c>
      <c r="D326" s="65" t="s">
        <v>1280</v>
      </c>
      <c r="E326" s="38"/>
      <c r="F326" s="38"/>
      <c r="G326" s="38"/>
      <c r="H326" s="38">
        <v>1</v>
      </c>
      <c r="I326" s="261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1608</v>
      </c>
      <c r="C327" s="38" t="s">
        <v>1267</v>
      </c>
      <c r="D327" s="65" t="s">
        <v>1398</v>
      </c>
      <c r="E327" s="38">
        <v>5</v>
      </c>
      <c r="F327" s="38"/>
      <c r="G327" s="38">
        <v>4</v>
      </c>
      <c r="H327" s="38">
        <v>1</v>
      </c>
      <c r="I327" s="261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1608</v>
      </c>
      <c r="C328" s="38" t="s">
        <v>1279</v>
      </c>
      <c r="D328" s="65" t="s">
        <v>1398</v>
      </c>
      <c r="E328" s="38">
        <v>1</v>
      </c>
      <c r="F328" s="38">
        <v>2</v>
      </c>
      <c r="G328" s="38"/>
      <c r="H328" s="38"/>
      <c r="I328" s="261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1609</v>
      </c>
      <c r="C329" s="38" t="s">
        <v>1267</v>
      </c>
      <c r="D329" s="65" t="s">
        <v>1382</v>
      </c>
      <c r="E329" s="38"/>
      <c r="F329" s="38"/>
      <c r="G329" s="38"/>
      <c r="H329" s="38"/>
      <c r="I329" s="261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1610</v>
      </c>
      <c r="C330" s="38" t="s">
        <v>1267</v>
      </c>
      <c r="D330" s="65" t="s">
        <v>1398</v>
      </c>
      <c r="E330" s="38"/>
      <c r="F330" s="38"/>
      <c r="G330" s="38"/>
      <c r="H330" s="38"/>
      <c r="I330" s="261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1507</v>
      </c>
      <c r="C331" s="38" t="s">
        <v>1270</v>
      </c>
      <c r="D331" s="65" t="s">
        <v>1380</v>
      </c>
      <c r="E331" s="38"/>
      <c r="F331" s="38"/>
      <c r="G331" s="38"/>
      <c r="H331" s="38">
        <v>1</v>
      </c>
      <c r="I331" s="261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1611</v>
      </c>
      <c r="C332" s="38" t="s">
        <v>1279</v>
      </c>
      <c r="D332" s="65" t="s">
        <v>1396</v>
      </c>
      <c r="E332" s="38"/>
      <c r="F332" s="38">
        <v>1</v>
      </c>
      <c r="G332" s="38"/>
      <c r="H332" s="38"/>
      <c r="I332" s="261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1612</v>
      </c>
      <c r="C333" s="38" t="s">
        <v>1279</v>
      </c>
      <c r="D333" s="65" t="s">
        <v>1385</v>
      </c>
      <c r="E333" s="38">
        <v>1</v>
      </c>
      <c r="F333" s="38">
        <v>3</v>
      </c>
      <c r="G333" s="38"/>
      <c r="H333" s="38"/>
      <c r="I333" s="261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1499</v>
      </c>
      <c r="C334" s="38" t="s">
        <v>1267</v>
      </c>
      <c r="D334" s="65" t="s">
        <v>1613</v>
      </c>
      <c r="E334" s="38"/>
      <c r="F334" s="38"/>
      <c r="G334" s="38"/>
      <c r="H334" s="38">
        <v>4</v>
      </c>
      <c r="I334" s="261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1499</v>
      </c>
      <c r="C335" s="38" t="s">
        <v>1279</v>
      </c>
      <c r="D335" s="65" t="s">
        <v>1613</v>
      </c>
      <c r="E335" s="38">
        <v>27</v>
      </c>
      <c r="F335" s="38">
        <v>17</v>
      </c>
      <c r="G335" s="38">
        <v>17</v>
      </c>
      <c r="H335" s="38"/>
      <c r="I335" s="261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1614</v>
      </c>
      <c r="C336" s="38" t="s">
        <v>1267</v>
      </c>
      <c r="D336" s="65" t="s">
        <v>1615</v>
      </c>
      <c r="E336" s="38"/>
      <c r="F336" s="38">
        <v>1</v>
      </c>
      <c r="G336" s="38">
        <v>1</v>
      </c>
      <c r="H336" s="38"/>
      <c r="I336" s="261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1614</v>
      </c>
      <c r="C337" s="38" t="s">
        <v>1279</v>
      </c>
      <c r="D337" s="65" t="s">
        <v>1615</v>
      </c>
      <c r="E337" s="38">
        <v>5</v>
      </c>
      <c r="F337" s="38"/>
      <c r="G337" s="38"/>
      <c r="H337" s="38"/>
      <c r="I337" s="261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1616</v>
      </c>
      <c r="C338" s="38" t="s">
        <v>1267</v>
      </c>
      <c r="D338" s="65" t="s">
        <v>1382</v>
      </c>
      <c r="E338" s="38"/>
      <c r="F338" s="38"/>
      <c r="G338" s="38">
        <v>2</v>
      </c>
      <c r="H338" s="38">
        <v>1</v>
      </c>
      <c r="I338" s="261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1616</v>
      </c>
      <c r="C339" s="38" t="s">
        <v>1279</v>
      </c>
      <c r="D339" s="65" t="s">
        <v>1382</v>
      </c>
      <c r="E339" s="38"/>
      <c r="F339" s="38"/>
      <c r="G339" s="38"/>
      <c r="H339" s="38">
        <v>1</v>
      </c>
      <c r="I339" s="261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1617</v>
      </c>
      <c r="C340" s="38" t="s">
        <v>1279</v>
      </c>
      <c r="D340" s="65" t="s">
        <v>1280</v>
      </c>
      <c r="E340" s="38">
        <v>1</v>
      </c>
      <c r="F340" s="38">
        <v>2</v>
      </c>
      <c r="G340" s="38"/>
      <c r="H340" s="38"/>
      <c r="I340" s="261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1618</v>
      </c>
      <c r="C341" s="38" t="s">
        <v>1270</v>
      </c>
      <c r="D341" s="65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61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1619</v>
      </c>
      <c r="C342" s="38" t="s">
        <v>1267</v>
      </c>
      <c r="D342" s="65" t="s">
        <v>1620</v>
      </c>
      <c r="E342" s="38"/>
      <c r="F342" s="38"/>
      <c r="G342" s="38"/>
      <c r="H342" s="38">
        <v>1</v>
      </c>
      <c r="I342" s="261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1619</v>
      </c>
      <c r="C343" s="38" t="s">
        <v>1279</v>
      </c>
      <c r="D343" s="65" t="s">
        <v>1620</v>
      </c>
      <c r="E343" s="38"/>
      <c r="F343" s="38"/>
      <c r="G343" s="38">
        <v>3</v>
      </c>
      <c r="H343" s="38">
        <v>2</v>
      </c>
      <c r="I343" s="261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1810</v>
      </c>
      <c r="C344" s="38" t="s">
        <v>1279</v>
      </c>
      <c r="D344" s="65" t="s">
        <v>1398</v>
      </c>
      <c r="E344" s="38"/>
      <c r="F344" s="38"/>
      <c r="G344" s="38"/>
      <c r="H344" s="38"/>
      <c r="I344" s="261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1612</v>
      </c>
      <c r="C345" s="38" t="s">
        <v>1267</v>
      </c>
      <c r="D345" s="65" t="s">
        <v>1385</v>
      </c>
      <c r="E345" s="38"/>
      <c r="F345" s="38"/>
      <c r="G345" s="38"/>
      <c r="H345" s="38"/>
      <c r="I345" s="261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E13" sqref="E13:E17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5" t="s">
        <v>2</v>
      </c>
      <c r="B3" s="38" t="s">
        <v>1202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1203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1204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1205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1762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1202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1203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1204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1205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1762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1202</v>
      </c>
      <c r="C13" s="56">
        <v>306</v>
      </c>
      <c r="D13" s="56">
        <f>C13</f>
        <v>306</v>
      </c>
      <c r="E13" s="57">
        <f>D13/C13</f>
        <v>1</v>
      </c>
    </row>
    <row r="14" spans="1:5" s="24" customFormat="1">
      <c r="A14" s="55" t="s">
        <v>4</v>
      </c>
      <c r="B14" s="38" t="s">
        <v>1203</v>
      </c>
      <c r="C14" s="56">
        <v>295</v>
      </c>
      <c r="D14" s="56">
        <f t="shared" ref="D14:D17" si="0">C14</f>
        <v>295</v>
      </c>
      <c r="E14" s="57">
        <f t="shared" ref="E14:E17" si="1">D14/C14</f>
        <v>1</v>
      </c>
    </row>
    <row r="15" spans="1:5">
      <c r="A15" s="55" t="s">
        <v>4</v>
      </c>
      <c r="B15" s="38" t="s">
        <v>1204</v>
      </c>
      <c r="C15" s="56">
        <v>299</v>
      </c>
      <c r="D15" s="56">
        <f t="shared" si="0"/>
        <v>299</v>
      </c>
      <c r="E15" s="57">
        <f t="shared" si="1"/>
        <v>1</v>
      </c>
    </row>
    <row r="16" spans="1:5">
      <c r="A16" s="55" t="s">
        <v>4</v>
      </c>
      <c r="B16" s="38" t="s">
        <v>1205</v>
      </c>
      <c r="C16" s="56">
        <v>350</v>
      </c>
      <c r="D16" s="56">
        <f t="shared" si="0"/>
        <v>350</v>
      </c>
      <c r="E16" s="57">
        <f t="shared" si="1"/>
        <v>1</v>
      </c>
    </row>
    <row r="17" spans="1:5">
      <c r="A17" s="55" t="s">
        <v>4</v>
      </c>
      <c r="B17" s="38" t="s">
        <v>1762</v>
      </c>
      <c r="C17" s="56">
        <v>278</v>
      </c>
      <c r="D17" s="56">
        <f t="shared" si="0"/>
        <v>278</v>
      </c>
      <c r="E17" s="57">
        <f t="shared" si="1"/>
        <v>1</v>
      </c>
    </row>
    <row r="18" spans="1:5">
      <c r="A18" s="55" t="s">
        <v>3</v>
      </c>
      <c r="B18" s="38" t="s">
        <v>1202</v>
      </c>
      <c r="C18" s="56">
        <v>147</v>
      </c>
      <c r="D18" s="56"/>
      <c r="E18" s="57">
        <v>0</v>
      </c>
    </row>
    <row r="19" spans="1:5">
      <c r="A19" s="55" t="s">
        <v>3</v>
      </c>
      <c r="B19" s="38" t="s">
        <v>1203</v>
      </c>
      <c r="C19" s="56">
        <v>126</v>
      </c>
      <c r="D19" s="56"/>
      <c r="E19" s="57">
        <v>0</v>
      </c>
    </row>
    <row r="20" spans="1:5">
      <c r="A20" s="55" t="s">
        <v>3</v>
      </c>
      <c r="B20" s="38" t="s">
        <v>1204</v>
      </c>
      <c r="C20" s="56">
        <v>142</v>
      </c>
      <c r="D20" s="56"/>
      <c r="E20" s="57">
        <v>0</v>
      </c>
    </row>
    <row r="21" spans="1:5">
      <c r="A21" s="55" t="s">
        <v>3</v>
      </c>
      <c r="B21" s="38" t="s">
        <v>1205</v>
      </c>
      <c r="C21" s="56">
        <v>130</v>
      </c>
      <c r="D21" s="56"/>
      <c r="E21" s="57">
        <v>0</v>
      </c>
    </row>
    <row r="22" spans="1:5">
      <c r="A22" s="55" t="s">
        <v>3</v>
      </c>
      <c r="B22" s="38" t="s">
        <v>1762</v>
      </c>
      <c r="C22" s="56">
        <v>135</v>
      </c>
      <c r="D22" s="56"/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40">
        <v>534</v>
      </c>
      <c r="D3" s="54"/>
      <c r="E3" s="286"/>
    </row>
    <row r="4" spans="1:5" s="24" customFormat="1">
      <c r="A4" s="53" t="s">
        <v>2</v>
      </c>
      <c r="B4" s="38" t="s">
        <v>1203</v>
      </c>
      <c r="C4" s="240">
        <v>479</v>
      </c>
      <c r="D4" s="163"/>
      <c r="E4" s="287"/>
    </row>
    <row r="5" spans="1:5" s="24" customFormat="1">
      <c r="A5" s="53" t="s">
        <v>2</v>
      </c>
      <c r="B5" s="38" t="s">
        <v>1204</v>
      </c>
      <c r="C5" s="240">
        <v>623</v>
      </c>
      <c r="D5" s="54"/>
      <c r="E5" s="286"/>
    </row>
    <row r="6" spans="1:5" s="24" customFormat="1">
      <c r="A6" s="53" t="s">
        <v>2</v>
      </c>
      <c r="B6" s="38" t="s">
        <v>1205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1762</v>
      </c>
      <c r="C7" s="247">
        <v>572</v>
      </c>
      <c r="D7" s="54">
        <v>176</v>
      </c>
      <c r="E7" s="57">
        <v>0.30769230769230771</v>
      </c>
    </row>
    <row r="8" spans="1:5" s="24" customFormat="1">
      <c r="A8" s="289" t="s">
        <v>1</v>
      </c>
      <c r="B8" s="145" t="s">
        <v>1202</v>
      </c>
      <c r="C8" s="219">
        <v>730</v>
      </c>
      <c r="D8" s="219">
        <v>12</v>
      </c>
      <c r="E8" s="290">
        <v>0.02</v>
      </c>
    </row>
    <row r="9" spans="1:5" s="24" customFormat="1">
      <c r="A9" s="291" t="s">
        <v>1</v>
      </c>
      <c r="B9" s="147" t="s">
        <v>1203</v>
      </c>
      <c r="C9" s="220">
        <v>701</v>
      </c>
      <c r="D9" s="220">
        <v>9</v>
      </c>
      <c r="E9" s="292">
        <v>0.01</v>
      </c>
    </row>
    <row r="10" spans="1:5" s="24" customFormat="1">
      <c r="A10" s="291" t="s">
        <v>1</v>
      </c>
      <c r="B10" s="147" t="s">
        <v>1204</v>
      </c>
      <c r="C10" s="220">
        <v>892</v>
      </c>
      <c r="D10" s="220">
        <v>10</v>
      </c>
      <c r="E10" s="292">
        <v>0.01</v>
      </c>
    </row>
    <row r="11" spans="1:5" s="24" customFormat="1">
      <c r="A11" s="291" t="s">
        <v>1</v>
      </c>
      <c r="B11" s="147" t="s">
        <v>1205</v>
      </c>
      <c r="C11" s="221">
        <v>1070</v>
      </c>
      <c r="D11" s="220">
        <v>7</v>
      </c>
      <c r="E11" s="292">
        <v>0.01</v>
      </c>
    </row>
    <row r="12" spans="1:5" s="24" customFormat="1">
      <c r="A12" s="291" t="s">
        <v>1</v>
      </c>
      <c r="B12" s="147" t="s">
        <v>1762</v>
      </c>
      <c r="C12" s="220">
        <v>865</v>
      </c>
      <c r="D12" s="220">
        <v>8</v>
      </c>
      <c r="E12" s="292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051"/>
  <sheetViews>
    <sheetView zoomScale="85" zoomScaleNormal="85" workbookViewId="0">
      <selection activeCell="S3" sqref="S3:V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14"/>
      <c r="T3" s="314"/>
      <c r="U3" s="314"/>
      <c r="V3" s="314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1764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1765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1766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1779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1780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1781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1782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1783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1784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1785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1731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1732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1733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1786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1787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1788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1734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1789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1735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1790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1791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1792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49"/>
      <c r="J368" s="104"/>
      <c r="K368" s="104"/>
      <c r="L368" s="104"/>
      <c r="M368" s="104"/>
      <c r="N368" s="104"/>
      <c r="O368" s="104"/>
      <c r="P368" s="105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49"/>
      <c r="J369" s="104"/>
      <c r="K369" s="104"/>
      <c r="L369" s="104"/>
      <c r="M369" s="104"/>
      <c r="N369" s="104"/>
      <c r="O369" s="104"/>
      <c r="P369" s="105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49"/>
      <c r="J370" s="104"/>
      <c r="K370" s="104"/>
      <c r="L370" s="104"/>
      <c r="M370" s="104"/>
      <c r="N370" s="104"/>
      <c r="O370" s="104"/>
      <c r="P370" s="105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49"/>
      <c r="J371" s="104"/>
      <c r="K371" s="104"/>
      <c r="L371" s="104"/>
      <c r="M371" s="104"/>
      <c r="N371" s="104"/>
      <c r="O371" s="104"/>
      <c r="P371" s="105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49"/>
      <c r="J372" s="104"/>
      <c r="K372" s="104"/>
      <c r="L372" s="104"/>
      <c r="M372" s="104"/>
      <c r="N372" s="104"/>
      <c r="O372" s="104"/>
      <c r="P372" s="105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49"/>
      <c r="J373" s="104"/>
      <c r="K373" s="104"/>
      <c r="L373" s="104"/>
      <c r="M373" s="104"/>
      <c r="N373" s="104"/>
      <c r="O373" s="104"/>
      <c r="P373" s="105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49"/>
      <c r="J374" s="104"/>
      <c r="K374" s="104"/>
      <c r="L374" s="104"/>
      <c r="M374" s="104"/>
      <c r="N374" s="104"/>
      <c r="O374" s="104"/>
      <c r="P374" s="105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49"/>
      <c r="J375" s="104"/>
      <c r="K375" s="104"/>
      <c r="L375" s="104"/>
      <c r="M375" s="104"/>
      <c r="N375" s="104"/>
      <c r="O375" s="104"/>
      <c r="P375" s="105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49"/>
      <c r="J376" s="104"/>
      <c r="K376" s="104"/>
      <c r="L376" s="104"/>
      <c r="M376" s="104"/>
      <c r="N376" s="104"/>
      <c r="O376" s="104"/>
      <c r="P376" s="105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49"/>
      <c r="J377" s="104"/>
      <c r="K377" s="104"/>
      <c r="L377" s="104"/>
      <c r="M377" s="104"/>
      <c r="N377" s="104"/>
      <c r="O377" s="104"/>
      <c r="P377" s="105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49"/>
      <c r="J378" s="104"/>
      <c r="K378" s="104"/>
      <c r="L378" s="104"/>
      <c r="M378" s="104"/>
      <c r="N378" s="104"/>
      <c r="O378" s="104"/>
      <c r="P378" s="105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49"/>
      <c r="J379" s="104"/>
      <c r="K379" s="104"/>
      <c r="L379" s="104"/>
      <c r="M379" s="104"/>
      <c r="N379" s="104"/>
      <c r="O379" s="104"/>
      <c r="P379" s="105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49"/>
      <c r="J380" s="104"/>
      <c r="K380" s="104"/>
      <c r="L380" s="104"/>
      <c r="M380" s="104"/>
      <c r="N380" s="104"/>
      <c r="O380" s="104"/>
      <c r="P380" s="105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49"/>
      <c r="J381" s="104"/>
      <c r="K381" s="104"/>
      <c r="L381" s="104"/>
      <c r="M381" s="104"/>
      <c r="N381" s="104"/>
      <c r="O381" s="104"/>
      <c r="P381" s="105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49"/>
      <c r="J382" s="104"/>
      <c r="K382" s="104"/>
      <c r="L382" s="104"/>
      <c r="M382" s="104"/>
      <c r="N382" s="104"/>
      <c r="O382" s="104"/>
      <c r="P382" s="105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49"/>
      <c r="J383" s="104"/>
      <c r="K383" s="104"/>
      <c r="L383" s="104"/>
      <c r="M383" s="104"/>
      <c r="N383" s="104"/>
      <c r="O383" s="104"/>
      <c r="P383" s="105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49"/>
      <c r="J384" s="104"/>
      <c r="K384" s="104"/>
      <c r="L384" s="104"/>
      <c r="M384" s="104"/>
      <c r="N384" s="104"/>
      <c r="O384" s="104"/>
      <c r="P384" s="105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49"/>
      <c r="J385" s="104"/>
      <c r="K385" s="104"/>
      <c r="L385" s="104"/>
      <c r="M385" s="104"/>
      <c r="N385" s="104"/>
      <c r="O385" s="104"/>
      <c r="P385" s="105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49"/>
      <c r="J386" s="104"/>
      <c r="K386" s="104"/>
      <c r="L386" s="104"/>
      <c r="M386" s="104"/>
      <c r="N386" s="104"/>
      <c r="O386" s="104"/>
      <c r="P386" s="105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49"/>
      <c r="J387" s="104"/>
      <c r="K387" s="104"/>
      <c r="L387" s="104"/>
      <c r="M387" s="104"/>
      <c r="N387" s="104"/>
      <c r="O387" s="104"/>
      <c r="P387" s="105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49"/>
      <c r="J388" s="104"/>
      <c r="K388" s="104"/>
      <c r="L388" s="104"/>
      <c r="M388" s="104"/>
      <c r="N388" s="104"/>
      <c r="O388" s="104"/>
      <c r="P388" s="105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49"/>
      <c r="J389" s="104"/>
      <c r="K389" s="104"/>
      <c r="L389" s="104"/>
      <c r="M389" s="104"/>
      <c r="N389" s="104"/>
      <c r="O389" s="104"/>
      <c r="P389" s="105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49"/>
      <c r="J390" s="104"/>
      <c r="K390" s="104"/>
      <c r="L390" s="104"/>
      <c r="M390" s="104"/>
      <c r="N390" s="104"/>
      <c r="O390" s="104"/>
      <c r="P390" s="105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49"/>
      <c r="J391" s="104"/>
      <c r="K391" s="104"/>
      <c r="L391" s="104"/>
      <c r="M391" s="104"/>
      <c r="N391" s="104"/>
      <c r="O391" s="104"/>
      <c r="P391" s="105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49"/>
      <c r="J392" s="104"/>
      <c r="K392" s="104"/>
      <c r="L392" s="104"/>
      <c r="M392" s="104"/>
      <c r="N392" s="104"/>
      <c r="O392" s="104"/>
      <c r="P392" s="105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49"/>
      <c r="J393" s="104"/>
      <c r="K393" s="104"/>
      <c r="L393" s="104"/>
      <c r="M393" s="104"/>
      <c r="N393" s="104"/>
      <c r="O393" s="104"/>
      <c r="P393" s="105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49"/>
      <c r="J394" s="104"/>
      <c r="K394" s="104"/>
      <c r="L394" s="104"/>
      <c r="M394" s="104"/>
      <c r="N394" s="104"/>
      <c r="O394" s="104"/>
      <c r="P394" s="105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49"/>
      <c r="J395" s="104"/>
      <c r="K395" s="104"/>
      <c r="L395" s="104"/>
      <c r="M395" s="104"/>
      <c r="N395" s="104"/>
      <c r="O395" s="104"/>
      <c r="P395" s="105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49"/>
      <c r="J396" s="104"/>
      <c r="K396" s="104"/>
      <c r="L396" s="104"/>
      <c r="M396" s="104"/>
      <c r="N396" s="104"/>
      <c r="O396" s="104"/>
      <c r="P396" s="105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49"/>
      <c r="J397" s="104"/>
      <c r="K397" s="104"/>
      <c r="L397" s="104"/>
      <c r="M397" s="104"/>
      <c r="N397" s="104"/>
      <c r="O397" s="104"/>
      <c r="P397" s="105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49"/>
      <c r="J398" s="104"/>
      <c r="K398" s="104"/>
      <c r="L398" s="104"/>
      <c r="M398" s="104"/>
      <c r="N398" s="104"/>
      <c r="O398" s="104"/>
      <c r="P398" s="105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49"/>
      <c r="J399" s="104"/>
      <c r="K399" s="104"/>
      <c r="L399" s="104"/>
      <c r="M399" s="104"/>
      <c r="N399" s="104"/>
      <c r="O399" s="104"/>
      <c r="P399" s="105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49"/>
      <c r="J400" s="104"/>
      <c r="K400" s="104"/>
      <c r="L400" s="104"/>
      <c r="M400" s="104"/>
      <c r="N400" s="104"/>
      <c r="O400" s="104"/>
      <c r="P400" s="105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49"/>
      <c r="J401" s="104"/>
      <c r="K401" s="104"/>
      <c r="L401" s="104"/>
      <c r="M401" s="104"/>
      <c r="N401" s="104"/>
      <c r="O401" s="104"/>
      <c r="P401" s="105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49"/>
      <c r="J402" s="104"/>
      <c r="K402" s="104"/>
      <c r="L402" s="104"/>
      <c r="M402" s="104"/>
      <c r="N402" s="104"/>
      <c r="O402" s="104"/>
      <c r="P402" s="105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49"/>
      <c r="J403" s="104"/>
      <c r="K403" s="104"/>
      <c r="L403" s="104"/>
      <c r="M403" s="104"/>
      <c r="N403" s="104"/>
      <c r="O403" s="104"/>
      <c r="P403" s="105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49"/>
      <c r="J404" s="104"/>
      <c r="K404" s="104"/>
      <c r="L404" s="104"/>
      <c r="M404" s="104"/>
      <c r="N404" s="104"/>
      <c r="O404" s="104"/>
      <c r="P404" s="105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49"/>
      <c r="J405" s="104"/>
      <c r="K405" s="104"/>
      <c r="L405" s="104"/>
      <c r="M405" s="104"/>
      <c r="N405" s="104"/>
      <c r="O405" s="104"/>
      <c r="P405" s="105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49"/>
      <c r="J406" s="104"/>
      <c r="K406" s="104"/>
      <c r="L406" s="104"/>
      <c r="M406" s="104"/>
      <c r="N406" s="104"/>
      <c r="O406" s="104"/>
      <c r="P406" s="105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49"/>
      <c r="J407" s="104"/>
      <c r="K407" s="104"/>
      <c r="L407" s="104"/>
      <c r="M407" s="104"/>
      <c r="N407" s="104"/>
      <c r="O407" s="104"/>
      <c r="P407" s="105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49"/>
      <c r="J408" s="104"/>
      <c r="K408" s="104"/>
      <c r="L408" s="104"/>
      <c r="M408" s="104"/>
      <c r="N408" s="104"/>
      <c r="O408" s="104"/>
      <c r="P408" s="105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49"/>
      <c r="J409" s="104"/>
      <c r="K409" s="104"/>
      <c r="L409" s="104"/>
      <c r="M409" s="104"/>
      <c r="N409" s="104"/>
      <c r="O409" s="104"/>
      <c r="P409" s="105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49"/>
      <c r="J410" s="104"/>
      <c r="K410" s="104"/>
      <c r="L410" s="104"/>
      <c r="M410" s="104"/>
      <c r="N410" s="104"/>
      <c r="O410" s="104"/>
      <c r="P410" s="105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49"/>
      <c r="J411" s="104"/>
      <c r="K411" s="104"/>
      <c r="L411" s="104"/>
      <c r="M411" s="104"/>
      <c r="N411" s="104"/>
      <c r="O411" s="104"/>
      <c r="P411" s="105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49"/>
      <c r="J412" s="104"/>
      <c r="K412" s="104"/>
      <c r="L412" s="104"/>
      <c r="M412" s="104"/>
      <c r="N412" s="104"/>
      <c r="O412" s="104"/>
      <c r="P412" s="105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49"/>
      <c r="J413" s="104"/>
      <c r="K413" s="104"/>
      <c r="L413" s="104"/>
      <c r="M413" s="104"/>
      <c r="N413" s="104"/>
      <c r="O413" s="104"/>
      <c r="P413" s="105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49"/>
      <c r="J414" s="104"/>
      <c r="K414" s="104"/>
      <c r="L414" s="104"/>
      <c r="M414" s="104"/>
      <c r="N414" s="104"/>
      <c r="O414" s="104"/>
      <c r="P414" s="105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49"/>
      <c r="J415" s="104"/>
      <c r="K415" s="104"/>
      <c r="L415" s="104"/>
      <c r="M415" s="104"/>
      <c r="N415" s="104"/>
      <c r="O415" s="104"/>
      <c r="P415" s="105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49"/>
      <c r="J416" s="104"/>
      <c r="K416" s="104"/>
      <c r="L416" s="104"/>
      <c r="M416" s="104"/>
      <c r="N416" s="104"/>
      <c r="O416" s="104"/>
      <c r="P416" s="105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49"/>
      <c r="J417" s="104"/>
      <c r="K417" s="104"/>
      <c r="L417" s="104"/>
      <c r="M417" s="104"/>
      <c r="N417" s="104"/>
      <c r="O417" s="104"/>
      <c r="P417" s="105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49"/>
      <c r="J418" s="104"/>
      <c r="K418" s="104"/>
      <c r="L418" s="104"/>
      <c r="M418" s="104"/>
      <c r="N418" s="104"/>
      <c r="O418" s="104"/>
      <c r="P418" s="105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49"/>
      <c r="J419" s="104"/>
      <c r="K419" s="104"/>
      <c r="L419" s="104"/>
      <c r="M419" s="104"/>
      <c r="N419" s="104"/>
      <c r="O419" s="104"/>
      <c r="P419" s="105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49"/>
      <c r="J420" s="104"/>
      <c r="K420" s="104"/>
      <c r="L420" s="104"/>
      <c r="M420" s="104"/>
      <c r="N420" s="104"/>
      <c r="O420" s="104"/>
      <c r="P420" s="105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49"/>
      <c r="J421" s="104"/>
      <c r="K421" s="104"/>
      <c r="L421" s="104"/>
      <c r="M421" s="104"/>
      <c r="N421" s="104"/>
      <c r="O421" s="104"/>
      <c r="P421" s="105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49"/>
      <c r="J422" s="104"/>
      <c r="K422" s="104"/>
      <c r="L422" s="104"/>
      <c r="M422" s="104"/>
      <c r="N422" s="104"/>
      <c r="O422" s="104"/>
      <c r="P422" s="105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49"/>
      <c r="J423" s="104"/>
      <c r="K423" s="104"/>
      <c r="L423" s="104"/>
      <c r="M423" s="104"/>
      <c r="N423" s="104"/>
      <c r="O423" s="104"/>
      <c r="P423" s="105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49"/>
      <c r="J424" s="104"/>
      <c r="K424" s="104"/>
      <c r="L424" s="104"/>
      <c r="M424" s="104"/>
      <c r="N424" s="104"/>
      <c r="O424" s="104"/>
      <c r="P424" s="105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49"/>
      <c r="J425" s="104"/>
      <c r="K425" s="104"/>
      <c r="L425" s="104"/>
      <c r="M425" s="104"/>
      <c r="N425" s="104"/>
      <c r="O425" s="104"/>
      <c r="P425" s="105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49"/>
      <c r="J426" s="104"/>
      <c r="K426" s="104"/>
      <c r="L426" s="104"/>
      <c r="M426" s="104"/>
      <c r="N426" s="104"/>
      <c r="O426" s="104"/>
      <c r="P426" s="105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49"/>
      <c r="J427" s="104"/>
      <c r="K427" s="104"/>
      <c r="L427" s="104"/>
      <c r="M427" s="104"/>
      <c r="N427" s="104"/>
      <c r="O427" s="104"/>
      <c r="P427" s="105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49"/>
      <c r="J428" s="104"/>
      <c r="K428" s="104"/>
      <c r="L428" s="104"/>
      <c r="M428" s="104"/>
      <c r="N428" s="104"/>
      <c r="O428" s="104"/>
      <c r="P428" s="105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49"/>
      <c r="J429" s="104"/>
      <c r="K429" s="104"/>
      <c r="L429" s="104"/>
      <c r="M429" s="104"/>
      <c r="N429" s="104"/>
      <c r="O429" s="104"/>
      <c r="P429" s="105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49"/>
      <c r="J430" s="104"/>
      <c r="K430" s="104"/>
      <c r="L430" s="104"/>
      <c r="M430" s="104"/>
      <c r="N430" s="104"/>
      <c r="O430" s="104"/>
      <c r="P430" s="105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49"/>
      <c r="J431" s="104"/>
      <c r="K431" s="104"/>
      <c r="L431" s="104"/>
      <c r="M431" s="104"/>
      <c r="N431" s="104"/>
      <c r="O431" s="104"/>
      <c r="P431" s="105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49"/>
      <c r="J432" s="104"/>
      <c r="K432" s="104"/>
      <c r="L432" s="104"/>
      <c r="M432" s="104"/>
      <c r="N432" s="104"/>
      <c r="O432" s="104"/>
      <c r="P432" s="105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49"/>
      <c r="J433" s="104"/>
      <c r="K433" s="104"/>
      <c r="L433" s="104"/>
      <c r="M433" s="104"/>
      <c r="N433" s="104"/>
      <c r="O433" s="104"/>
      <c r="P433" s="105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49"/>
      <c r="J434" s="104"/>
      <c r="K434" s="104"/>
      <c r="L434" s="104"/>
      <c r="M434" s="104"/>
      <c r="N434" s="104"/>
      <c r="O434" s="104"/>
      <c r="P434" s="105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49"/>
      <c r="J435" s="104"/>
      <c r="K435" s="104"/>
      <c r="L435" s="104"/>
      <c r="M435" s="104"/>
      <c r="N435" s="104"/>
      <c r="O435" s="104"/>
      <c r="P435" s="105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49"/>
      <c r="J436" s="104"/>
      <c r="K436" s="104"/>
      <c r="L436" s="104"/>
      <c r="M436" s="104"/>
      <c r="N436" s="104"/>
      <c r="O436" s="104"/>
      <c r="P436" s="105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49"/>
      <c r="J437" s="104"/>
      <c r="K437" s="104"/>
      <c r="L437" s="104"/>
      <c r="M437" s="104"/>
      <c r="N437" s="104"/>
      <c r="O437" s="104"/>
      <c r="P437" s="105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49"/>
      <c r="J438" s="104"/>
      <c r="K438" s="104"/>
      <c r="L438" s="104"/>
      <c r="M438" s="104"/>
      <c r="N438" s="104"/>
      <c r="O438" s="104"/>
      <c r="P438" s="105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49"/>
      <c r="J439" s="104"/>
      <c r="K439" s="104"/>
      <c r="L439" s="104"/>
      <c r="M439" s="104"/>
      <c r="N439" s="104"/>
      <c r="O439" s="104"/>
      <c r="P439" s="105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49"/>
      <c r="J440" s="104"/>
      <c r="K440" s="104"/>
      <c r="L440" s="104"/>
      <c r="M440" s="104"/>
      <c r="N440" s="104"/>
      <c r="O440" s="104"/>
      <c r="P440" s="105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49"/>
      <c r="J441" s="104"/>
      <c r="K441" s="104"/>
      <c r="L441" s="104"/>
      <c r="M441" s="104"/>
      <c r="N441" s="104"/>
      <c r="O441" s="104"/>
      <c r="P441" s="105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49"/>
      <c r="J442" s="104"/>
      <c r="K442" s="104"/>
      <c r="L442" s="104"/>
      <c r="M442" s="104"/>
      <c r="N442" s="104"/>
      <c r="O442" s="104"/>
      <c r="P442" s="105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49"/>
      <c r="J443" s="104"/>
      <c r="K443" s="104"/>
      <c r="L443" s="104"/>
      <c r="M443" s="104"/>
      <c r="N443" s="104"/>
      <c r="O443" s="104"/>
      <c r="P443" s="105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49"/>
      <c r="J444" s="104"/>
      <c r="K444" s="104"/>
      <c r="L444" s="104"/>
      <c r="M444" s="104"/>
      <c r="N444" s="104"/>
      <c r="O444" s="104"/>
      <c r="P444" s="105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49"/>
      <c r="J445" s="104"/>
      <c r="K445" s="104"/>
      <c r="L445" s="104"/>
      <c r="M445" s="104"/>
      <c r="N445" s="104"/>
      <c r="O445" s="104"/>
      <c r="P445" s="105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49"/>
      <c r="J446" s="104"/>
      <c r="K446" s="104"/>
      <c r="L446" s="104"/>
      <c r="M446" s="104"/>
      <c r="N446" s="104"/>
      <c r="O446" s="104"/>
      <c r="P446" s="105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49"/>
      <c r="J447" s="104"/>
      <c r="K447" s="104"/>
      <c r="L447" s="104"/>
      <c r="M447" s="104"/>
      <c r="N447" s="104"/>
      <c r="O447" s="104"/>
      <c r="P447" s="105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49"/>
      <c r="J448" s="104"/>
      <c r="K448" s="104"/>
      <c r="L448" s="104"/>
      <c r="M448" s="104"/>
      <c r="N448" s="104"/>
      <c r="O448" s="104"/>
      <c r="P448" s="105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49"/>
      <c r="J449" s="104"/>
      <c r="K449" s="104"/>
      <c r="L449" s="104"/>
      <c r="M449" s="104"/>
      <c r="N449" s="104"/>
      <c r="O449" s="104"/>
      <c r="P449" s="105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49"/>
      <c r="J450" s="104"/>
      <c r="K450" s="104"/>
      <c r="L450" s="104"/>
      <c r="M450" s="104"/>
      <c r="N450" s="104"/>
      <c r="O450" s="104"/>
      <c r="P450" s="105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49"/>
      <c r="J451" s="104"/>
      <c r="K451" s="104"/>
      <c r="L451" s="104"/>
      <c r="M451" s="104"/>
      <c r="N451" s="104"/>
      <c r="O451" s="104"/>
      <c r="P451" s="105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49"/>
      <c r="J452" s="104"/>
      <c r="K452" s="104"/>
      <c r="L452" s="104"/>
      <c r="M452" s="104"/>
      <c r="N452" s="104"/>
      <c r="O452" s="104"/>
      <c r="P452" s="105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49"/>
      <c r="J453" s="104"/>
      <c r="K453" s="104"/>
      <c r="L453" s="104"/>
      <c r="M453" s="104"/>
      <c r="N453" s="104"/>
      <c r="O453" s="104"/>
      <c r="P453" s="105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49"/>
      <c r="J454" s="104"/>
      <c r="K454" s="104"/>
      <c r="L454" s="104"/>
      <c r="M454" s="104"/>
      <c r="N454" s="104"/>
      <c r="O454" s="104"/>
      <c r="P454" s="105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49"/>
      <c r="J455" s="104"/>
      <c r="K455" s="104"/>
      <c r="L455" s="104"/>
      <c r="M455" s="104"/>
      <c r="N455" s="104"/>
      <c r="O455" s="104"/>
      <c r="P455" s="105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49"/>
      <c r="J456" s="104"/>
      <c r="K456" s="104"/>
      <c r="L456" s="104"/>
      <c r="M456" s="104"/>
      <c r="N456" s="104"/>
      <c r="O456" s="104"/>
      <c r="P456" s="105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49"/>
      <c r="J457" s="104"/>
      <c r="K457" s="104"/>
      <c r="L457" s="104"/>
      <c r="M457" s="104"/>
      <c r="N457" s="104"/>
      <c r="O457" s="104"/>
      <c r="P457" s="105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49"/>
      <c r="J458" s="104"/>
      <c r="K458" s="104"/>
      <c r="L458" s="104"/>
      <c r="M458" s="104"/>
      <c r="N458" s="104"/>
      <c r="O458" s="104"/>
      <c r="P458" s="105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49"/>
      <c r="J459" s="104"/>
      <c r="K459" s="104"/>
      <c r="L459" s="104"/>
      <c r="M459" s="104"/>
      <c r="N459" s="104"/>
      <c r="O459" s="104"/>
      <c r="P459" s="105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49"/>
      <c r="J460" s="104"/>
      <c r="K460" s="104"/>
      <c r="L460" s="104"/>
      <c r="M460" s="104"/>
      <c r="N460" s="104"/>
      <c r="O460" s="104"/>
      <c r="P460" s="105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49"/>
      <c r="J461" s="104"/>
      <c r="K461" s="104"/>
      <c r="L461" s="104"/>
      <c r="M461" s="104"/>
      <c r="N461" s="104"/>
      <c r="O461" s="104"/>
      <c r="P461" s="105">
        <v>14</v>
      </c>
    </row>
    <row r="462" spans="1: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50"/>
      <c r="J462" s="5"/>
      <c r="K462" s="5"/>
      <c r="L462" s="5"/>
      <c r="M462" s="5"/>
      <c r="N462" s="5"/>
      <c r="O462" s="5"/>
      <c r="P462" s="105">
        <v>14</v>
      </c>
    </row>
    <row r="463" spans="1: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50"/>
      <c r="J463" s="5"/>
      <c r="K463" s="5"/>
      <c r="L463" s="5"/>
      <c r="M463" s="5"/>
      <c r="N463" s="5"/>
      <c r="O463" s="5"/>
      <c r="P463" s="105">
        <v>14</v>
      </c>
    </row>
    <row r="464" spans="1: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50"/>
      <c r="J464" s="5"/>
      <c r="K464" s="5"/>
      <c r="L464" s="5"/>
      <c r="M464" s="5"/>
      <c r="N464" s="5"/>
      <c r="O464" s="5"/>
      <c r="P464" s="105">
        <v>14</v>
      </c>
    </row>
    <row r="465" spans="1: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50"/>
      <c r="J465" s="5"/>
      <c r="K465" s="5"/>
      <c r="L465" s="5"/>
      <c r="M465" s="5"/>
      <c r="N465" s="5"/>
      <c r="O465" s="5"/>
      <c r="P465" s="105">
        <v>14</v>
      </c>
    </row>
    <row r="466" spans="1: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50"/>
      <c r="J466" s="5"/>
      <c r="K466" s="5"/>
      <c r="L466" s="5"/>
      <c r="M466" s="5"/>
      <c r="N466" s="5"/>
      <c r="O466" s="5"/>
      <c r="P466" s="105">
        <v>14</v>
      </c>
    </row>
    <row r="467" spans="1: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50"/>
      <c r="J467" s="5"/>
      <c r="K467" s="5"/>
      <c r="L467" s="5"/>
      <c r="M467" s="5"/>
      <c r="N467" s="5"/>
      <c r="O467" s="5"/>
      <c r="P467" s="105">
        <v>14</v>
      </c>
    </row>
    <row r="468" spans="1: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50"/>
      <c r="J468" s="5"/>
      <c r="K468" s="5"/>
      <c r="L468" s="5"/>
      <c r="M468" s="5"/>
      <c r="N468" s="5"/>
      <c r="O468" s="5"/>
      <c r="P468" s="105">
        <v>14</v>
      </c>
    </row>
    <row r="469" spans="1: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50"/>
      <c r="J469" s="5"/>
      <c r="K469" s="5"/>
      <c r="L469" s="5"/>
      <c r="M469" s="5"/>
      <c r="N469" s="5"/>
      <c r="O469" s="5"/>
      <c r="P469" s="105">
        <v>14</v>
      </c>
    </row>
    <row r="470" spans="1: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50"/>
      <c r="J470" s="5"/>
      <c r="K470" s="5"/>
      <c r="L470" s="5"/>
      <c r="M470" s="5"/>
      <c r="N470" s="5"/>
      <c r="O470" s="5"/>
      <c r="P470" s="105">
        <v>13</v>
      </c>
    </row>
    <row r="471" spans="1: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50"/>
      <c r="J471" s="5"/>
      <c r="K471" s="5"/>
      <c r="L471" s="5"/>
      <c r="M471" s="5"/>
      <c r="N471" s="5"/>
      <c r="O471" s="5"/>
      <c r="P471" s="105">
        <v>13</v>
      </c>
    </row>
    <row r="472" spans="1: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50"/>
      <c r="J472" s="5"/>
      <c r="K472" s="5"/>
      <c r="L472" s="5"/>
      <c r="M472" s="5"/>
      <c r="N472" s="5"/>
      <c r="O472" s="5"/>
      <c r="P472" s="105">
        <v>13</v>
      </c>
    </row>
    <row r="473" spans="1: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50"/>
      <c r="J473" s="5"/>
      <c r="K473" s="5"/>
      <c r="L473" s="5"/>
      <c r="M473" s="5"/>
      <c r="N473" s="5"/>
      <c r="O473" s="5"/>
      <c r="P473" s="105">
        <v>13</v>
      </c>
    </row>
    <row r="474" spans="1: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50"/>
      <c r="J474" s="5"/>
      <c r="K474" s="5"/>
      <c r="L474" s="5"/>
      <c r="M474" s="5"/>
      <c r="N474" s="5"/>
      <c r="O474" s="5"/>
      <c r="P474" s="105">
        <v>13</v>
      </c>
    </row>
    <row r="475" spans="1: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50"/>
      <c r="J475" s="5"/>
      <c r="K475" s="5"/>
      <c r="L475" s="5"/>
      <c r="M475" s="5"/>
      <c r="N475" s="5"/>
      <c r="O475" s="5"/>
      <c r="P475" s="105">
        <v>13</v>
      </c>
    </row>
    <row r="476" spans="1: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50"/>
      <c r="J476" s="5"/>
      <c r="K476" s="5"/>
      <c r="L476" s="5"/>
      <c r="M476" s="5"/>
      <c r="N476" s="5"/>
      <c r="O476" s="5"/>
      <c r="P476" s="105">
        <v>12</v>
      </c>
    </row>
    <row r="477" spans="1: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50"/>
      <c r="J477" s="5"/>
      <c r="K477" s="5"/>
      <c r="L477" s="5"/>
      <c r="M477" s="5"/>
      <c r="N477" s="5"/>
      <c r="O477" s="5"/>
      <c r="P477" s="105">
        <v>12</v>
      </c>
    </row>
    <row r="478" spans="1: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50"/>
      <c r="J478" s="5"/>
      <c r="K478" s="5"/>
      <c r="L478" s="5"/>
      <c r="M478" s="5"/>
      <c r="N478" s="5"/>
      <c r="O478" s="5"/>
      <c r="P478" s="105">
        <v>12</v>
      </c>
    </row>
    <row r="479" spans="1: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50"/>
      <c r="J479" s="5"/>
      <c r="K479" s="5"/>
      <c r="L479" s="5"/>
      <c r="M479" s="5"/>
      <c r="N479" s="5"/>
      <c r="O479" s="5"/>
      <c r="P479" s="105">
        <v>12</v>
      </c>
    </row>
    <row r="480" spans="1: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51"/>
      <c r="J480" s="15"/>
      <c r="K480" s="15"/>
      <c r="L480" s="15"/>
      <c r="M480" s="15"/>
      <c r="N480" s="15"/>
      <c r="O480" s="15"/>
      <c r="P480" s="105">
        <v>12</v>
      </c>
    </row>
    <row r="481" spans="1: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51"/>
      <c r="J481" s="15"/>
      <c r="K481" s="15"/>
      <c r="L481" s="15"/>
      <c r="M481" s="15"/>
      <c r="N481" s="15"/>
      <c r="O481" s="15"/>
      <c r="P481" s="105">
        <v>12</v>
      </c>
    </row>
    <row r="482" spans="1: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51"/>
      <c r="J482" s="15"/>
      <c r="K482" s="15"/>
      <c r="L482" s="15"/>
      <c r="M482" s="15"/>
      <c r="N482" s="15"/>
      <c r="O482" s="15"/>
      <c r="P482" s="105">
        <v>12</v>
      </c>
    </row>
    <row r="483" spans="1: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51"/>
      <c r="J483" s="15"/>
      <c r="K483" s="15"/>
      <c r="L483" s="15"/>
      <c r="M483" s="15"/>
      <c r="N483" s="15"/>
      <c r="O483" s="15"/>
      <c r="P483" s="105">
        <v>11</v>
      </c>
    </row>
    <row r="484" spans="1: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51"/>
      <c r="J484" s="15"/>
      <c r="K484" s="15"/>
      <c r="L484" s="15"/>
      <c r="M484" s="15"/>
      <c r="N484" s="15"/>
      <c r="O484" s="15"/>
      <c r="P484" s="105">
        <v>11</v>
      </c>
    </row>
    <row r="485" spans="1: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51"/>
      <c r="J485" s="15"/>
      <c r="K485" s="15"/>
      <c r="L485" s="15"/>
      <c r="M485" s="15"/>
      <c r="N485" s="15"/>
      <c r="O485" s="15"/>
      <c r="P485" s="105">
        <v>11</v>
      </c>
    </row>
    <row r="486" spans="1: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51"/>
      <c r="J486" s="15"/>
      <c r="K486" s="15"/>
      <c r="L486" s="15"/>
      <c r="M486" s="15"/>
      <c r="N486" s="15"/>
      <c r="O486" s="15"/>
      <c r="P486" s="105">
        <v>11</v>
      </c>
    </row>
    <row r="487" spans="1: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51"/>
      <c r="J487" s="15"/>
      <c r="K487" s="15"/>
      <c r="L487" s="15"/>
      <c r="M487" s="15"/>
      <c r="N487" s="15"/>
      <c r="O487" s="15"/>
      <c r="P487" s="105">
        <v>11</v>
      </c>
    </row>
    <row r="488" spans="1: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51"/>
      <c r="J488" s="15"/>
      <c r="K488" s="15"/>
      <c r="L488" s="15"/>
      <c r="M488" s="15"/>
      <c r="N488" s="15"/>
      <c r="O488" s="15"/>
      <c r="P488" s="105">
        <v>11</v>
      </c>
    </row>
    <row r="489" spans="1: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51"/>
      <c r="J489" s="15"/>
      <c r="K489" s="15"/>
      <c r="L489" s="15"/>
      <c r="M489" s="15"/>
      <c r="N489" s="15"/>
      <c r="O489" s="15"/>
      <c r="P489" s="105">
        <v>11</v>
      </c>
    </row>
    <row r="490" spans="1: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51"/>
      <c r="J490" s="15"/>
      <c r="K490" s="15"/>
      <c r="L490" s="15"/>
      <c r="M490" s="15"/>
      <c r="N490" s="15"/>
      <c r="O490" s="15"/>
      <c r="P490" s="105">
        <v>11</v>
      </c>
    </row>
    <row r="491" spans="1: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51"/>
      <c r="J491" s="15"/>
      <c r="K491" s="15"/>
      <c r="L491" s="15"/>
      <c r="M491" s="15"/>
      <c r="N491" s="15"/>
      <c r="O491" s="15"/>
      <c r="P491" s="105">
        <v>11</v>
      </c>
    </row>
    <row r="492" spans="1: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51"/>
      <c r="J492" s="15"/>
      <c r="K492" s="15"/>
      <c r="L492" s="15"/>
      <c r="M492" s="15"/>
      <c r="N492" s="15"/>
      <c r="O492" s="15"/>
      <c r="P492" s="105">
        <v>10</v>
      </c>
    </row>
    <row r="493" spans="1: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51"/>
      <c r="J493" s="15"/>
      <c r="K493" s="15"/>
      <c r="L493" s="15"/>
      <c r="M493" s="15"/>
      <c r="N493" s="15"/>
      <c r="O493" s="15"/>
      <c r="P493" s="105">
        <v>10</v>
      </c>
    </row>
    <row r="494" spans="1: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51"/>
      <c r="J494" s="15"/>
      <c r="K494" s="15"/>
      <c r="L494" s="15"/>
      <c r="M494" s="15"/>
      <c r="N494" s="15"/>
      <c r="O494" s="15"/>
      <c r="P494" s="105">
        <v>10</v>
      </c>
    </row>
    <row r="495" spans="1: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52"/>
      <c r="J495" s="97"/>
      <c r="K495" s="97"/>
      <c r="L495" s="97"/>
      <c r="M495" s="97"/>
      <c r="N495" s="97"/>
      <c r="O495" s="97"/>
      <c r="P495" s="105">
        <v>10</v>
      </c>
    </row>
    <row r="496" spans="1: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52"/>
      <c r="J496" s="97"/>
      <c r="K496" s="97"/>
      <c r="L496" s="97"/>
      <c r="M496" s="97"/>
      <c r="N496" s="97"/>
      <c r="O496" s="97"/>
      <c r="P496" s="105">
        <v>10</v>
      </c>
    </row>
    <row r="497" spans="1: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52"/>
      <c r="J497" s="97"/>
      <c r="K497" s="97"/>
      <c r="L497" s="97"/>
      <c r="M497" s="97"/>
      <c r="N497" s="97"/>
      <c r="O497" s="97"/>
      <c r="P497" s="105">
        <v>10</v>
      </c>
    </row>
    <row r="498" spans="1: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52"/>
      <c r="J498" s="97"/>
      <c r="K498" s="97"/>
      <c r="L498" s="97"/>
      <c r="M498" s="97"/>
      <c r="N498" s="97"/>
      <c r="O498" s="97"/>
      <c r="P498" s="105">
        <v>10</v>
      </c>
    </row>
    <row r="499" spans="1: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52"/>
      <c r="J499" s="97"/>
      <c r="K499" s="97"/>
      <c r="L499" s="97"/>
      <c r="M499" s="97"/>
      <c r="N499" s="97"/>
      <c r="O499" s="97"/>
      <c r="P499" s="105">
        <v>10</v>
      </c>
    </row>
    <row r="500" spans="1: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52"/>
      <c r="J500" s="97"/>
      <c r="K500" s="97"/>
      <c r="L500" s="97"/>
      <c r="M500" s="97"/>
      <c r="N500" s="97"/>
      <c r="O500" s="97"/>
      <c r="P500" s="105">
        <v>10</v>
      </c>
    </row>
    <row r="501" spans="1: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52"/>
      <c r="J501" s="97"/>
      <c r="K501" s="97"/>
      <c r="L501" s="97"/>
      <c r="M501" s="97"/>
      <c r="N501" s="97"/>
      <c r="O501" s="97"/>
      <c r="P501" s="105">
        <v>9</v>
      </c>
    </row>
    <row r="502" spans="1:16">
      <c r="A502" s="38">
        <v>135</v>
      </c>
      <c r="B502" s="38" t="s">
        <v>4</v>
      </c>
      <c r="C502" s="14" t="s">
        <v>1793</v>
      </c>
      <c r="D502" s="13">
        <v>4</v>
      </c>
      <c r="E502" s="13">
        <v>4</v>
      </c>
      <c r="F502" s="13"/>
      <c r="G502" s="13"/>
      <c r="H502" s="13">
        <v>1</v>
      </c>
      <c r="I502" s="252"/>
      <c r="J502" s="97"/>
      <c r="K502" s="97"/>
      <c r="L502" s="97"/>
      <c r="M502" s="97"/>
      <c r="N502" s="97"/>
      <c r="O502" s="97"/>
      <c r="P502" s="105">
        <v>9</v>
      </c>
    </row>
    <row r="503" spans="1: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52"/>
      <c r="J503" s="97"/>
      <c r="K503" s="97"/>
      <c r="L503" s="97"/>
      <c r="M503" s="97"/>
      <c r="N503" s="97"/>
      <c r="O503" s="97"/>
      <c r="P503" s="105">
        <v>9</v>
      </c>
    </row>
    <row r="504" spans="1: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52"/>
      <c r="J504" s="97"/>
      <c r="K504" s="97"/>
      <c r="L504" s="97"/>
      <c r="M504" s="97"/>
      <c r="N504" s="97"/>
      <c r="O504" s="97"/>
      <c r="P504" s="105">
        <v>9</v>
      </c>
    </row>
    <row r="505" spans="1: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52"/>
      <c r="J505" s="97"/>
      <c r="K505" s="97"/>
      <c r="L505" s="97"/>
      <c r="M505" s="97"/>
      <c r="N505" s="97"/>
      <c r="O505" s="97"/>
      <c r="P505" s="105">
        <v>9</v>
      </c>
    </row>
    <row r="506" spans="1: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52"/>
      <c r="J506" s="97"/>
      <c r="K506" s="97"/>
      <c r="L506" s="97"/>
      <c r="M506" s="97"/>
      <c r="N506" s="97"/>
      <c r="O506" s="97"/>
      <c r="P506" s="105">
        <v>9</v>
      </c>
    </row>
    <row r="507" spans="1: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52"/>
      <c r="J507" s="97"/>
      <c r="K507" s="97"/>
      <c r="L507" s="97"/>
      <c r="M507" s="97"/>
      <c r="N507" s="97"/>
      <c r="O507" s="97"/>
      <c r="P507" s="105">
        <v>9</v>
      </c>
    </row>
    <row r="508" spans="1: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52"/>
      <c r="J508" s="97"/>
      <c r="K508" s="97"/>
      <c r="L508" s="97"/>
      <c r="M508" s="97"/>
      <c r="N508" s="97"/>
      <c r="O508" s="97"/>
      <c r="P508" s="105">
        <v>9</v>
      </c>
    </row>
    <row r="509" spans="1: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52"/>
      <c r="J509" s="97"/>
      <c r="K509" s="97"/>
      <c r="L509" s="97"/>
      <c r="M509" s="97"/>
      <c r="N509" s="97"/>
      <c r="O509" s="97"/>
      <c r="P509" s="105">
        <v>9</v>
      </c>
    </row>
    <row r="510" spans="1: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52"/>
      <c r="J510" s="97"/>
      <c r="K510" s="97"/>
      <c r="L510" s="97"/>
      <c r="M510" s="97"/>
      <c r="N510" s="97"/>
      <c r="O510" s="97"/>
      <c r="P510" s="105">
        <v>9</v>
      </c>
    </row>
    <row r="511" spans="1: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52"/>
      <c r="J511" s="97"/>
      <c r="K511" s="97"/>
      <c r="L511" s="97"/>
      <c r="M511" s="97"/>
      <c r="N511" s="97"/>
      <c r="O511" s="97"/>
      <c r="P511" s="105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53"/>
      <c r="J512" s="253"/>
      <c r="K512" s="253"/>
      <c r="L512" s="253"/>
      <c r="M512" s="253"/>
      <c r="N512" s="253"/>
      <c r="O512" s="253"/>
      <c r="P512" s="105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53"/>
      <c r="J513" s="253"/>
      <c r="K513" s="253"/>
      <c r="L513" s="253"/>
      <c r="M513" s="253"/>
      <c r="N513" s="253"/>
      <c r="O513" s="253"/>
      <c r="P513" s="105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53"/>
      <c r="J514" s="253"/>
      <c r="K514" s="253"/>
      <c r="L514" s="253"/>
      <c r="M514" s="253"/>
      <c r="N514" s="253"/>
      <c r="O514" s="253"/>
      <c r="P514" s="105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53"/>
      <c r="J515" s="253"/>
      <c r="K515" s="253"/>
      <c r="L515" s="253"/>
      <c r="M515" s="253"/>
      <c r="N515" s="253"/>
      <c r="O515" s="253"/>
      <c r="P515" s="105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53"/>
      <c r="J516" s="253"/>
      <c r="K516" s="253"/>
      <c r="L516" s="253"/>
      <c r="M516" s="253"/>
      <c r="N516" s="253"/>
      <c r="O516" s="253"/>
      <c r="P516" s="105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53"/>
      <c r="J517" s="253"/>
      <c r="K517" s="253"/>
      <c r="L517" s="253"/>
      <c r="M517" s="253"/>
      <c r="N517" s="253"/>
      <c r="O517" s="253"/>
      <c r="P517" s="105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53"/>
      <c r="J518" s="253"/>
      <c r="K518" s="253"/>
      <c r="L518" s="253"/>
      <c r="M518" s="253"/>
      <c r="N518" s="253"/>
      <c r="O518" s="253"/>
      <c r="P518" s="105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53"/>
      <c r="J519" s="253"/>
      <c r="K519" s="253"/>
      <c r="L519" s="253"/>
      <c r="M519" s="253"/>
      <c r="N519" s="253"/>
      <c r="O519" s="253"/>
      <c r="P519" s="105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53"/>
      <c r="J520" s="253"/>
      <c r="K520" s="253"/>
      <c r="L520" s="253"/>
      <c r="M520" s="253"/>
      <c r="N520" s="253"/>
      <c r="O520" s="253"/>
      <c r="P520" s="105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53"/>
      <c r="J521" s="253"/>
      <c r="K521" s="253"/>
      <c r="L521" s="253"/>
      <c r="M521" s="253"/>
      <c r="N521" s="253"/>
      <c r="O521" s="253"/>
      <c r="P521" s="105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53"/>
      <c r="J522" s="253"/>
      <c r="K522" s="253"/>
      <c r="L522" s="253"/>
      <c r="M522" s="253"/>
      <c r="N522" s="253"/>
      <c r="O522" s="253"/>
      <c r="P522" s="105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53"/>
      <c r="J523" s="253"/>
      <c r="K523" s="253"/>
      <c r="L523" s="253"/>
      <c r="M523" s="253"/>
      <c r="N523" s="253"/>
      <c r="O523" s="253"/>
      <c r="P523" s="105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53"/>
      <c r="J524" s="253"/>
      <c r="K524" s="253"/>
      <c r="L524" s="253"/>
      <c r="M524" s="253"/>
      <c r="N524" s="253"/>
      <c r="O524" s="253"/>
      <c r="P524" s="105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53"/>
      <c r="J525" s="253"/>
      <c r="K525" s="253"/>
      <c r="L525" s="253"/>
      <c r="M525" s="253"/>
      <c r="N525" s="253"/>
      <c r="O525" s="253"/>
      <c r="P525" s="105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53"/>
      <c r="J526" s="253"/>
      <c r="K526" s="253"/>
      <c r="L526" s="253"/>
      <c r="M526" s="253"/>
      <c r="N526" s="253"/>
      <c r="O526" s="253"/>
      <c r="P526" s="105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53"/>
      <c r="J527" s="253"/>
      <c r="K527" s="253"/>
      <c r="L527" s="253"/>
      <c r="M527" s="253"/>
      <c r="N527" s="253"/>
      <c r="O527" s="253"/>
      <c r="P527" s="105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53"/>
      <c r="J528" s="253"/>
      <c r="K528" s="253"/>
      <c r="L528" s="253"/>
      <c r="M528" s="253"/>
      <c r="N528" s="253"/>
      <c r="O528" s="253"/>
      <c r="P528" s="105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53"/>
      <c r="J529" s="253"/>
      <c r="K529" s="253"/>
      <c r="L529" s="253"/>
      <c r="M529" s="253"/>
      <c r="N529" s="253"/>
      <c r="O529" s="253"/>
      <c r="P529" s="105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53"/>
      <c r="J530" s="253"/>
      <c r="K530" s="253"/>
      <c r="L530" s="253"/>
      <c r="M530" s="253"/>
      <c r="N530" s="253"/>
      <c r="O530" s="253"/>
      <c r="P530" s="105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53"/>
      <c r="J531" s="253"/>
      <c r="K531" s="253"/>
      <c r="L531" s="253"/>
      <c r="M531" s="253"/>
      <c r="N531" s="253"/>
      <c r="O531" s="253"/>
      <c r="P531" s="105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53"/>
      <c r="J532" s="253"/>
      <c r="K532" s="253"/>
      <c r="L532" s="253"/>
      <c r="M532" s="253"/>
      <c r="N532" s="253"/>
      <c r="O532" s="253"/>
      <c r="P532" s="105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53"/>
      <c r="J533" s="253"/>
      <c r="K533" s="253"/>
      <c r="L533" s="253"/>
      <c r="M533" s="253"/>
      <c r="N533" s="253"/>
      <c r="O533" s="253"/>
      <c r="P533" s="105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53"/>
      <c r="J534" s="253"/>
      <c r="K534" s="253"/>
      <c r="L534" s="253"/>
      <c r="M534" s="253"/>
      <c r="N534" s="253"/>
      <c r="O534" s="253"/>
      <c r="P534" s="105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53"/>
      <c r="J535" s="253"/>
      <c r="K535" s="253"/>
      <c r="L535" s="253"/>
      <c r="M535" s="253"/>
      <c r="N535" s="253"/>
      <c r="O535" s="253"/>
      <c r="P535" s="105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53"/>
      <c r="J536" s="253"/>
      <c r="K536" s="253"/>
      <c r="L536" s="253"/>
      <c r="M536" s="253"/>
      <c r="N536" s="253"/>
      <c r="O536" s="253"/>
      <c r="P536" s="105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53"/>
      <c r="J537" s="253"/>
      <c r="K537" s="253"/>
      <c r="L537" s="253"/>
      <c r="M537" s="253"/>
      <c r="N537" s="253"/>
      <c r="O537" s="253"/>
      <c r="P537" s="105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53"/>
      <c r="J538" s="253"/>
      <c r="K538" s="253"/>
      <c r="L538" s="253"/>
      <c r="M538" s="253"/>
      <c r="N538" s="253"/>
      <c r="O538" s="253"/>
      <c r="P538" s="105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53"/>
      <c r="J539" s="253"/>
      <c r="K539" s="253"/>
      <c r="L539" s="253"/>
      <c r="M539" s="253"/>
      <c r="N539" s="253"/>
      <c r="O539" s="253"/>
      <c r="P539" s="105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53"/>
      <c r="J540" s="253"/>
      <c r="K540" s="253"/>
      <c r="L540" s="253"/>
      <c r="M540" s="253"/>
      <c r="N540" s="253"/>
      <c r="O540" s="253"/>
      <c r="P540" s="105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53"/>
      <c r="J541" s="253"/>
      <c r="K541" s="253"/>
      <c r="L541" s="253"/>
      <c r="M541" s="253"/>
      <c r="N541" s="253"/>
      <c r="O541" s="253"/>
      <c r="P541" s="105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53"/>
      <c r="J542" s="253"/>
      <c r="K542" s="253"/>
      <c r="L542" s="253"/>
      <c r="M542" s="253"/>
      <c r="N542" s="253"/>
      <c r="O542" s="253"/>
      <c r="P542" s="105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53"/>
      <c r="J543" s="253"/>
      <c r="K543" s="253"/>
      <c r="L543" s="253"/>
      <c r="M543" s="253"/>
      <c r="N543" s="253"/>
      <c r="O543" s="253"/>
      <c r="P543" s="105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53"/>
      <c r="J544" s="253"/>
      <c r="K544" s="253"/>
      <c r="L544" s="253"/>
      <c r="M544" s="253"/>
      <c r="N544" s="253"/>
      <c r="O544" s="253"/>
      <c r="P544" s="105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53"/>
      <c r="J545" s="253"/>
      <c r="K545" s="253"/>
      <c r="L545" s="253"/>
      <c r="M545" s="253"/>
      <c r="N545" s="253"/>
      <c r="O545" s="253"/>
      <c r="P545" s="105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53"/>
      <c r="J546" s="253"/>
      <c r="K546" s="253"/>
      <c r="L546" s="253"/>
      <c r="M546" s="253"/>
      <c r="N546" s="253"/>
      <c r="O546" s="253"/>
      <c r="P546" s="105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53"/>
      <c r="J547" s="253"/>
      <c r="K547" s="253"/>
      <c r="L547" s="253"/>
      <c r="M547" s="253"/>
      <c r="N547" s="253"/>
      <c r="O547" s="253"/>
      <c r="P547" s="105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53"/>
      <c r="J548" s="253"/>
      <c r="K548" s="253"/>
      <c r="L548" s="253"/>
      <c r="M548" s="253"/>
      <c r="N548" s="253"/>
      <c r="O548" s="253"/>
      <c r="P548" s="105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53"/>
      <c r="J549" s="253"/>
      <c r="K549" s="253"/>
      <c r="L549" s="253"/>
      <c r="M549" s="253"/>
      <c r="N549" s="253"/>
      <c r="O549" s="253"/>
      <c r="P549" s="105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53"/>
      <c r="J550" s="253"/>
      <c r="K550" s="253"/>
      <c r="L550" s="253"/>
      <c r="M550" s="253"/>
      <c r="N550" s="253"/>
      <c r="O550" s="253"/>
      <c r="P550" s="105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53"/>
      <c r="J551" s="253"/>
      <c r="K551" s="253"/>
      <c r="L551" s="253"/>
      <c r="M551" s="253"/>
      <c r="N551" s="253"/>
      <c r="O551" s="253"/>
      <c r="P551" s="105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53"/>
      <c r="J552" s="253"/>
      <c r="K552" s="253"/>
      <c r="L552" s="253"/>
      <c r="M552" s="253"/>
      <c r="N552" s="253"/>
      <c r="O552" s="253"/>
      <c r="P552" s="105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53"/>
      <c r="J553" s="253"/>
      <c r="K553" s="253"/>
      <c r="L553" s="253"/>
      <c r="M553" s="253"/>
      <c r="N553" s="253"/>
      <c r="O553" s="253"/>
      <c r="P553" s="105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53"/>
      <c r="J554" s="253"/>
      <c r="K554" s="253"/>
      <c r="L554" s="253"/>
      <c r="M554" s="253"/>
      <c r="N554" s="253"/>
      <c r="O554" s="253"/>
      <c r="P554" s="105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53"/>
      <c r="J555" s="253"/>
      <c r="K555" s="253"/>
      <c r="L555" s="253"/>
      <c r="M555" s="253"/>
      <c r="N555" s="253"/>
      <c r="O555" s="253"/>
      <c r="P555" s="105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53"/>
      <c r="J556" s="253"/>
      <c r="K556" s="253"/>
      <c r="L556" s="253"/>
      <c r="M556" s="253"/>
      <c r="N556" s="253"/>
      <c r="O556" s="253"/>
      <c r="P556" s="105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53"/>
      <c r="J557" s="253"/>
      <c r="K557" s="253"/>
      <c r="L557" s="253"/>
      <c r="M557" s="253"/>
      <c r="N557" s="253"/>
      <c r="O557" s="253"/>
      <c r="P557" s="105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53"/>
      <c r="J558" s="253"/>
      <c r="K558" s="253"/>
      <c r="L558" s="253"/>
      <c r="M558" s="253"/>
      <c r="N558" s="253"/>
      <c r="O558" s="253"/>
      <c r="P558" s="105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53"/>
      <c r="J559" s="253"/>
      <c r="K559" s="253"/>
      <c r="L559" s="253"/>
      <c r="M559" s="253"/>
      <c r="N559" s="253"/>
      <c r="O559" s="253"/>
      <c r="P559" s="105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53"/>
      <c r="J560" s="253"/>
      <c r="K560" s="253"/>
      <c r="L560" s="253"/>
      <c r="M560" s="253"/>
      <c r="N560" s="253"/>
      <c r="O560" s="253"/>
      <c r="P560" s="105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53"/>
      <c r="J561" s="253"/>
      <c r="K561" s="253"/>
      <c r="L561" s="253"/>
      <c r="M561" s="253"/>
      <c r="N561" s="253"/>
      <c r="O561" s="253"/>
      <c r="P561" s="105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53"/>
      <c r="J562" s="253"/>
      <c r="K562" s="253"/>
      <c r="L562" s="253"/>
      <c r="M562" s="253"/>
      <c r="N562" s="253"/>
      <c r="O562" s="253"/>
      <c r="P562" s="105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53"/>
      <c r="J563" s="253"/>
      <c r="K563" s="253"/>
      <c r="L563" s="253"/>
      <c r="M563" s="253"/>
      <c r="N563" s="253"/>
      <c r="O563" s="253"/>
      <c r="P563" s="105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53"/>
      <c r="J564" s="253"/>
      <c r="K564" s="253"/>
      <c r="L564" s="253"/>
      <c r="M564" s="253"/>
      <c r="N564" s="253"/>
      <c r="O564" s="253"/>
      <c r="P564" s="105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53"/>
      <c r="J565" s="253"/>
      <c r="K565" s="253"/>
      <c r="L565" s="253"/>
      <c r="M565" s="253"/>
      <c r="N565" s="253"/>
      <c r="O565" s="253"/>
      <c r="P565" s="105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53"/>
      <c r="J566" s="253"/>
      <c r="K566" s="253"/>
      <c r="L566" s="253"/>
      <c r="M566" s="253"/>
      <c r="N566" s="253"/>
      <c r="O566" s="253"/>
      <c r="P566" s="105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53"/>
      <c r="J567" s="253"/>
      <c r="K567" s="253"/>
      <c r="L567" s="253"/>
      <c r="M567" s="253"/>
      <c r="N567" s="253"/>
      <c r="O567" s="253"/>
      <c r="P567" s="105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53"/>
      <c r="J568" s="253"/>
      <c r="K568" s="253"/>
      <c r="L568" s="253"/>
      <c r="M568" s="253"/>
      <c r="N568" s="253"/>
      <c r="O568" s="253"/>
      <c r="P568" s="105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53"/>
      <c r="J569" s="253"/>
      <c r="K569" s="253"/>
      <c r="L569" s="253"/>
      <c r="M569" s="253"/>
      <c r="N569" s="253"/>
      <c r="O569" s="253"/>
      <c r="P569" s="105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53"/>
      <c r="J570" s="253"/>
      <c r="K570" s="253"/>
      <c r="L570" s="253"/>
      <c r="M570" s="253"/>
      <c r="N570" s="253"/>
      <c r="O570" s="253"/>
      <c r="P570" s="105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53"/>
      <c r="J571" s="253"/>
      <c r="K571" s="253"/>
      <c r="L571" s="253"/>
      <c r="M571" s="253"/>
      <c r="N571" s="253"/>
      <c r="O571" s="253"/>
      <c r="P571" s="105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53"/>
      <c r="J572" s="253"/>
      <c r="K572" s="253"/>
      <c r="L572" s="253"/>
      <c r="M572" s="253"/>
      <c r="N572" s="253"/>
      <c r="O572" s="253"/>
      <c r="P572" s="105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53"/>
      <c r="J573" s="253"/>
      <c r="K573" s="253"/>
      <c r="L573" s="253"/>
      <c r="M573" s="253"/>
      <c r="N573" s="253"/>
      <c r="O573" s="253"/>
      <c r="P573" s="105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53"/>
      <c r="J574" s="253"/>
      <c r="K574" s="253"/>
      <c r="L574" s="253"/>
      <c r="M574" s="253"/>
      <c r="N574" s="253"/>
      <c r="O574" s="253"/>
      <c r="P574" s="105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53"/>
      <c r="J575" s="253"/>
      <c r="K575" s="253"/>
      <c r="L575" s="253"/>
      <c r="M575" s="253"/>
      <c r="N575" s="253"/>
      <c r="O575" s="253"/>
      <c r="P575" s="105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53"/>
      <c r="J576" s="253"/>
      <c r="K576" s="253"/>
      <c r="L576" s="253"/>
      <c r="M576" s="253"/>
      <c r="N576" s="253"/>
      <c r="O576" s="253"/>
      <c r="P576" s="105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53"/>
      <c r="J577" s="253"/>
      <c r="K577" s="253"/>
      <c r="L577" s="253"/>
      <c r="M577" s="253"/>
      <c r="N577" s="253"/>
      <c r="O577" s="253"/>
      <c r="P577" s="105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53"/>
      <c r="J578" s="253"/>
      <c r="K578" s="253"/>
      <c r="L578" s="253"/>
      <c r="M578" s="253"/>
      <c r="N578" s="253"/>
      <c r="O578" s="253"/>
      <c r="P578" s="105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53"/>
      <c r="J579" s="253"/>
      <c r="K579" s="253"/>
      <c r="L579" s="253"/>
      <c r="M579" s="253"/>
      <c r="N579" s="253"/>
      <c r="O579" s="253"/>
      <c r="P579" s="105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53"/>
      <c r="J580" s="253"/>
      <c r="K580" s="253"/>
      <c r="L580" s="253"/>
      <c r="M580" s="253"/>
      <c r="N580" s="253"/>
      <c r="O580" s="253"/>
      <c r="P580" s="105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53"/>
      <c r="J581" s="253"/>
      <c r="K581" s="253"/>
      <c r="L581" s="253"/>
      <c r="M581" s="253"/>
      <c r="N581" s="253"/>
      <c r="O581" s="253"/>
      <c r="P581" s="105">
        <v>5</v>
      </c>
    </row>
    <row r="582" spans="1:16">
      <c r="A582" s="38">
        <v>215</v>
      </c>
      <c r="B582" s="38" t="s">
        <v>4</v>
      </c>
      <c r="C582" s="14" t="s">
        <v>1794</v>
      </c>
      <c r="D582" s="13"/>
      <c r="E582" s="13"/>
      <c r="F582" s="13"/>
      <c r="G582" s="13"/>
      <c r="H582" s="13">
        <v>5</v>
      </c>
      <c r="I582" s="253"/>
      <c r="J582" s="253"/>
      <c r="K582" s="253"/>
      <c r="L582" s="253"/>
      <c r="M582" s="253"/>
      <c r="N582" s="253"/>
      <c r="O582" s="253"/>
      <c r="P582" s="105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53"/>
      <c r="J583" s="253"/>
      <c r="K583" s="253"/>
      <c r="L583" s="253"/>
      <c r="M583" s="253"/>
      <c r="N583" s="253"/>
      <c r="O583" s="253"/>
      <c r="P583" s="105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53"/>
      <c r="J584" s="253"/>
      <c r="K584" s="253"/>
      <c r="L584" s="253"/>
      <c r="M584" s="253"/>
      <c r="N584" s="253"/>
      <c r="O584" s="253"/>
      <c r="P584" s="105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53"/>
      <c r="J585" s="253"/>
      <c r="K585" s="253"/>
      <c r="L585" s="253"/>
      <c r="M585" s="253"/>
      <c r="N585" s="253"/>
      <c r="O585" s="253"/>
      <c r="P585" s="105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53"/>
      <c r="J586" s="253"/>
      <c r="K586" s="253"/>
      <c r="L586" s="253"/>
      <c r="M586" s="253"/>
      <c r="N586" s="253"/>
      <c r="O586" s="253"/>
      <c r="P586" s="105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53"/>
      <c r="J587" s="253"/>
      <c r="K587" s="253"/>
      <c r="L587" s="253"/>
      <c r="M587" s="253"/>
      <c r="N587" s="253"/>
      <c r="O587" s="253"/>
      <c r="P587" s="105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53"/>
      <c r="J588" s="253"/>
      <c r="K588" s="253"/>
      <c r="L588" s="253"/>
      <c r="M588" s="253"/>
      <c r="N588" s="253"/>
      <c r="O588" s="253"/>
      <c r="P588" s="105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53"/>
      <c r="J589" s="253"/>
      <c r="K589" s="253"/>
      <c r="L589" s="253"/>
      <c r="M589" s="253"/>
      <c r="N589" s="253"/>
      <c r="O589" s="253"/>
      <c r="P589" s="105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53"/>
      <c r="J590" s="253"/>
      <c r="K590" s="253"/>
      <c r="L590" s="253"/>
      <c r="M590" s="253"/>
      <c r="N590" s="253"/>
      <c r="O590" s="253"/>
      <c r="P590" s="105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53"/>
      <c r="J591" s="253"/>
      <c r="K591" s="253"/>
      <c r="L591" s="253"/>
      <c r="M591" s="253"/>
      <c r="N591" s="253"/>
      <c r="O591" s="253"/>
      <c r="P591" s="105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53"/>
      <c r="J592" s="253"/>
      <c r="K592" s="253"/>
      <c r="L592" s="253"/>
      <c r="M592" s="253"/>
      <c r="N592" s="253"/>
      <c r="O592" s="253"/>
      <c r="P592" s="105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53"/>
      <c r="J593" s="253"/>
      <c r="K593" s="253"/>
      <c r="L593" s="253"/>
      <c r="M593" s="253"/>
      <c r="N593" s="253"/>
      <c r="O593" s="253"/>
      <c r="P593" s="105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53"/>
      <c r="J594" s="253"/>
      <c r="K594" s="253"/>
      <c r="L594" s="253"/>
      <c r="M594" s="253"/>
      <c r="N594" s="253"/>
      <c r="O594" s="253"/>
      <c r="P594" s="105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53"/>
      <c r="J595" s="253"/>
      <c r="K595" s="253"/>
      <c r="L595" s="253"/>
      <c r="M595" s="253"/>
      <c r="N595" s="253"/>
      <c r="O595" s="253"/>
      <c r="P595" s="105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53"/>
      <c r="J596" s="253"/>
      <c r="K596" s="253"/>
      <c r="L596" s="253"/>
      <c r="M596" s="253"/>
      <c r="N596" s="253"/>
      <c r="O596" s="253"/>
      <c r="P596" s="105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53"/>
      <c r="J597" s="253"/>
      <c r="K597" s="253"/>
      <c r="L597" s="253"/>
      <c r="M597" s="253"/>
      <c r="N597" s="253"/>
      <c r="O597" s="253"/>
      <c r="P597" s="105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53"/>
      <c r="J598" s="253"/>
      <c r="K598" s="253"/>
      <c r="L598" s="253"/>
      <c r="M598" s="253"/>
      <c r="N598" s="253"/>
      <c r="O598" s="253"/>
      <c r="P598" s="105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53"/>
      <c r="J599" s="253"/>
      <c r="K599" s="253"/>
      <c r="L599" s="253"/>
      <c r="M599" s="253"/>
      <c r="N599" s="253"/>
      <c r="O599" s="253"/>
      <c r="P599" s="105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53"/>
      <c r="J600" s="253"/>
      <c r="K600" s="253"/>
      <c r="L600" s="253"/>
      <c r="M600" s="253"/>
      <c r="N600" s="253"/>
      <c r="O600" s="253"/>
      <c r="P600" s="105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53"/>
      <c r="J601" s="253"/>
      <c r="K601" s="253"/>
      <c r="L601" s="253"/>
      <c r="M601" s="253"/>
      <c r="N601" s="253"/>
      <c r="O601" s="253"/>
      <c r="P601" s="105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53"/>
      <c r="J602" s="253"/>
      <c r="K602" s="253"/>
      <c r="L602" s="253"/>
      <c r="M602" s="253"/>
      <c r="N602" s="253"/>
      <c r="O602" s="253"/>
      <c r="P602" s="105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53"/>
      <c r="J603" s="253"/>
      <c r="K603" s="253"/>
      <c r="L603" s="253"/>
      <c r="M603" s="253"/>
      <c r="N603" s="253"/>
      <c r="O603" s="253"/>
      <c r="P603" s="105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53"/>
      <c r="J604" s="253"/>
      <c r="K604" s="253"/>
      <c r="L604" s="253"/>
      <c r="M604" s="253"/>
      <c r="N604" s="253"/>
      <c r="O604" s="253"/>
      <c r="P604" s="105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53"/>
      <c r="J605" s="253"/>
      <c r="K605" s="253"/>
      <c r="L605" s="253"/>
      <c r="M605" s="253"/>
      <c r="N605" s="253"/>
      <c r="O605" s="253"/>
      <c r="P605" s="105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53"/>
      <c r="J606" s="253"/>
      <c r="K606" s="253"/>
      <c r="L606" s="253"/>
      <c r="M606" s="253"/>
      <c r="N606" s="253"/>
      <c r="O606" s="253"/>
      <c r="P606" s="105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53"/>
      <c r="J607" s="253"/>
      <c r="K607" s="253"/>
      <c r="L607" s="253"/>
      <c r="M607" s="253"/>
      <c r="N607" s="253"/>
      <c r="O607" s="253"/>
      <c r="P607" s="105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53"/>
      <c r="J608" s="253"/>
      <c r="K608" s="253"/>
      <c r="L608" s="253"/>
      <c r="M608" s="253"/>
      <c r="N608" s="253"/>
      <c r="O608" s="253"/>
      <c r="P608" s="105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53"/>
      <c r="J609" s="253"/>
      <c r="K609" s="253"/>
      <c r="L609" s="253"/>
      <c r="M609" s="253"/>
      <c r="N609" s="253"/>
      <c r="O609" s="253"/>
      <c r="P609" s="105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53"/>
      <c r="J610" s="253"/>
      <c r="K610" s="253"/>
      <c r="L610" s="253"/>
      <c r="M610" s="253"/>
      <c r="N610" s="253"/>
      <c r="O610" s="253"/>
      <c r="P610" s="105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53"/>
      <c r="J611" s="253"/>
      <c r="K611" s="253"/>
      <c r="L611" s="253"/>
      <c r="M611" s="253"/>
      <c r="N611" s="253"/>
      <c r="O611" s="253"/>
      <c r="P611" s="105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53"/>
      <c r="J612" s="253"/>
      <c r="K612" s="253"/>
      <c r="L612" s="253"/>
      <c r="M612" s="253"/>
      <c r="N612" s="253"/>
      <c r="O612" s="253"/>
      <c r="P612" s="105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53"/>
      <c r="J613" s="253"/>
      <c r="K613" s="253"/>
      <c r="L613" s="253"/>
      <c r="M613" s="253"/>
      <c r="N613" s="253"/>
      <c r="O613" s="253"/>
      <c r="P613" s="105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53"/>
      <c r="J614" s="253"/>
      <c r="K614" s="253"/>
      <c r="L614" s="253"/>
      <c r="M614" s="253"/>
      <c r="N614" s="253"/>
      <c r="O614" s="253"/>
      <c r="P614" s="105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53"/>
      <c r="J615" s="253"/>
      <c r="K615" s="253"/>
      <c r="L615" s="253"/>
      <c r="M615" s="253"/>
      <c r="N615" s="253"/>
      <c r="O615" s="253"/>
      <c r="P615" s="105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53"/>
      <c r="J616" s="253"/>
      <c r="K616" s="253"/>
      <c r="L616" s="253"/>
      <c r="M616" s="253"/>
      <c r="N616" s="253"/>
      <c r="O616" s="253"/>
      <c r="P616" s="105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53"/>
      <c r="J617" s="253"/>
      <c r="K617" s="253"/>
      <c r="L617" s="253"/>
      <c r="M617" s="253"/>
      <c r="N617" s="253"/>
      <c r="O617" s="253"/>
      <c r="P617" s="105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53"/>
      <c r="J618" s="253"/>
      <c r="K618" s="253"/>
      <c r="L618" s="253"/>
      <c r="M618" s="253"/>
      <c r="N618" s="253"/>
      <c r="O618" s="253"/>
      <c r="P618" s="105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53"/>
      <c r="J619" s="253"/>
      <c r="K619" s="253"/>
      <c r="L619" s="253"/>
      <c r="M619" s="253"/>
      <c r="N619" s="253"/>
      <c r="O619" s="253"/>
      <c r="P619" s="105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53"/>
      <c r="J620" s="253"/>
      <c r="K620" s="253"/>
      <c r="L620" s="253"/>
      <c r="M620" s="253"/>
      <c r="N620" s="253"/>
      <c r="O620" s="253"/>
      <c r="P620" s="105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53"/>
      <c r="J621" s="253"/>
      <c r="K621" s="253"/>
      <c r="L621" s="253"/>
      <c r="M621" s="253"/>
      <c r="N621" s="253"/>
      <c r="O621" s="253"/>
      <c r="P621" s="105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53"/>
      <c r="J622" s="253"/>
      <c r="K622" s="253"/>
      <c r="L622" s="253"/>
      <c r="M622" s="253"/>
      <c r="N622" s="253"/>
      <c r="O622" s="253"/>
      <c r="P622" s="105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53"/>
      <c r="J623" s="253"/>
      <c r="K623" s="253"/>
      <c r="L623" s="253"/>
      <c r="M623" s="253"/>
      <c r="N623" s="253"/>
      <c r="O623" s="253"/>
      <c r="P623" s="105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53"/>
      <c r="J624" s="253"/>
      <c r="K624" s="253"/>
      <c r="L624" s="253"/>
      <c r="M624" s="253"/>
      <c r="N624" s="253"/>
      <c r="O624" s="253"/>
      <c r="P624" s="105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53"/>
      <c r="J625" s="253"/>
      <c r="K625" s="253"/>
      <c r="L625" s="253"/>
      <c r="M625" s="253"/>
      <c r="N625" s="253"/>
      <c r="O625" s="253"/>
      <c r="P625" s="105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53"/>
      <c r="J626" s="253"/>
      <c r="K626" s="253"/>
      <c r="L626" s="253"/>
      <c r="M626" s="253"/>
      <c r="N626" s="253"/>
      <c r="O626" s="253"/>
      <c r="P626" s="105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53"/>
      <c r="J627" s="253"/>
      <c r="K627" s="253"/>
      <c r="L627" s="253"/>
      <c r="M627" s="253"/>
      <c r="N627" s="253"/>
      <c r="O627" s="253"/>
      <c r="P627" s="105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53"/>
      <c r="J628" s="253"/>
      <c r="K628" s="253"/>
      <c r="L628" s="253"/>
      <c r="M628" s="253"/>
      <c r="N628" s="253"/>
      <c r="O628" s="253"/>
      <c r="P628" s="105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53"/>
      <c r="J629" s="253"/>
      <c r="K629" s="253"/>
      <c r="L629" s="253"/>
      <c r="M629" s="253"/>
      <c r="N629" s="253"/>
      <c r="O629" s="253"/>
      <c r="P629" s="105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53"/>
      <c r="J630" s="253"/>
      <c r="K630" s="253"/>
      <c r="L630" s="253"/>
      <c r="M630" s="253"/>
      <c r="N630" s="253"/>
      <c r="O630" s="253"/>
      <c r="P630" s="105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53"/>
      <c r="J631" s="253"/>
      <c r="K631" s="253"/>
      <c r="L631" s="253"/>
      <c r="M631" s="253"/>
      <c r="N631" s="253"/>
      <c r="O631" s="253"/>
      <c r="P631" s="105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53"/>
      <c r="J632" s="253"/>
      <c r="K632" s="253"/>
      <c r="L632" s="253"/>
      <c r="M632" s="253"/>
      <c r="N632" s="253"/>
      <c r="O632" s="253"/>
      <c r="P632" s="105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53"/>
      <c r="J633" s="253"/>
      <c r="K633" s="253"/>
      <c r="L633" s="253"/>
      <c r="M633" s="253"/>
      <c r="N633" s="253"/>
      <c r="O633" s="253"/>
      <c r="P633" s="105">
        <v>3</v>
      </c>
    </row>
    <row r="634" spans="1:16">
      <c r="A634" s="38">
        <v>267</v>
      </c>
      <c r="B634" s="38" t="s">
        <v>4</v>
      </c>
      <c r="C634" s="14" t="s">
        <v>1795</v>
      </c>
      <c r="D634" s="13"/>
      <c r="E634" s="13"/>
      <c r="F634" s="13"/>
      <c r="G634" s="13"/>
      <c r="H634" s="13">
        <v>3</v>
      </c>
      <c r="I634" s="253"/>
      <c r="J634" s="253"/>
      <c r="K634" s="253"/>
      <c r="L634" s="253"/>
      <c r="M634" s="253"/>
      <c r="N634" s="253"/>
      <c r="O634" s="253"/>
      <c r="P634" s="105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53"/>
      <c r="J635" s="253"/>
      <c r="K635" s="253"/>
      <c r="L635" s="253"/>
      <c r="M635" s="253"/>
      <c r="N635" s="253"/>
      <c r="O635" s="253"/>
      <c r="P635" s="105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53"/>
      <c r="J636" s="253"/>
      <c r="K636" s="253"/>
      <c r="L636" s="253"/>
      <c r="M636" s="253"/>
      <c r="N636" s="253"/>
      <c r="O636" s="253"/>
      <c r="P636" s="105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53"/>
      <c r="J637" s="253"/>
      <c r="K637" s="253"/>
      <c r="L637" s="253"/>
      <c r="M637" s="253"/>
      <c r="N637" s="253"/>
      <c r="O637" s="253"/>
      <c r="P637" s="105">
        <v>3</v>
      </c>
    </row>
    <row r="638" spans="1:16">
      <c r="A638" s="38">
        <v>271</v>
      </c>
      <c r="B638" s="38" t="s">
        <v>4</v>
      </c>
      <c r="C638" s="14" t="s">
        <v>1796</v>
      </c>
      <c r="D638" s="13"/>
      <c r="E638" s="13"/>
      <c r="F638" s="13"/>
      <c r="G638" s="13"/>
      <c r="H638" s="13">
        <v>3</v>
      </c>
      <c r="I638" s="253"/>
      <c r="J638" s="253"/>
      <c r="K638" s="253"/>
      <c r="L638" s="253"/>
      <c r="M638" s="253"/>
      <c r="N638" s="253"/>
      <c r="O638" s="253"/>
      <c r="P638" s="105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53"/>
      <c r="J639" s="253"/>
      <c r="K639" s="253"/>
      <c r="L639" s="253"/>
      <c r="M639" s="253"/>
      <c r="N639" s="253"/>
      <c r="O639" s="253"/>
      <c r="P639" s="105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53"/>
      <c r="J640" s="253"/>
      <c r="K640" s="253"/>
      <c r="L640" s="253"/>
      <c r="M640" s="253"/>
      <c r="N640" s="253"/>
      <c r="O640" s="253"/>
      <c r="P640" s="105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53"/>
      <c r="J641" s="253"/>
      <c r="K641" s="253"/>
      <c r="L641" s="253"/>
      <c r="M641" s="253"/>
      <c r="N641" s="253"/>
      <c r="O641" s="253"/>
      <c r="P641" s="105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53"/>
      <c r="J642" s="253"/>
      <c r="K642" s="253"/>
      <c r="L642" s="253"/>
      <c r="M642" s="253"/>
      <c r="N642" s="253"/>
      <c r="O642" s="253"/>
      <c r="P642" s="105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53"/>
      <c r="J643" s="253"/>
      <c r="K643" s="253"/>
      <c r="L643" s="253"/>
      <c r="M643" s="253"/>
      <c r="N643" s="253"/>
      <c r="O643" s="253"/>
      <c r="P643" s="105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53"/>
      <c r="J644" s="253"/>
      <c r="K644" s="253"/>
      <c r="L644" s="253"/>
      <c r="M644" s="253"/>
      <c r="N644" s="253"/>
      <c r="O644" s="253"/>
      <c r="P644" s="105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53"/>
      <c r="J645" s="253"/>
      <c r="K645" s="253"/>
      <c r="L645" s="253"/>
      <c r="M645" s="253"/>
      <c r="N645" s="253"/>
      <c r="O645" s="253"/>
      <c r="P645" s="105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53"/>
      <c r="J646" s="253"/>
      <c r="K646" s="253"/>
      <c r="L646" s="253"/>
      <c r="M646" s="253"/>
      <c r="N646" s="253"/>
      <c r="O646" s="253"/>
      <c r="P646" s="105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53"/>
      <c r="J647" s="253"/>
      <c r="K647" s="253"/>
      <c r="L647" s="253"/>
      <c r="M647" s="253"/>
      <c r="N647" s="253"/>
      <c r="O647" s="253"/>
      <c r="P647" s="105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53"/>
      <c r="J648" s="253"/>
      <c r="K648" s="253"/>
      <c r="L648" s="253"/>
      <c r="M648" s="253"/>
      <c r="N648" s="253"/>
      <c r="O648" s="253"/>
      <c r="P648" s="105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53"/>
      <c r="J649" s="253"/>
      <c r="K649" s="253"/>
      <c r="L649" s="253"/>
      <c r="M649" s="253"/>
      <c r="N649" s="253"/>
      <c r="O649" s="253"/>
      <c r="P649" s="105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53"/>
      <c r="J650" s="253"/>
      <c r="K650" s="253"/>
      <c r="L650" s="253"/>
      <c r="M650" s="253"/>
      <c r="N650" s="253"/>
      <c r="O650" s="253"/>
      <c r="P650" s="105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53"/>
      <c r="J651" s="253"/>
      <c r="K651" s="253"/>
      <c r="L651" s="253"/>
      <c r="M651" s="253"/>
      <c r="N651" s="253"/>
      <c r="O651" s="253"/>
      <c r="P651" s="105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53"/>
      <c r="J652" s="253"/>
      <c r="K652" s="253"/>
      <c r="L652" s="253"/>
      <c r="M652" s="253"/>
      <c r="N652" s="253"/>
      <c r="O652" s="253"/>
      <c r="P652" s="105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53"/>
      <c r="J653" s="253"/>
      <c r="K653" s="253"/>
      <c r="L653" s="253"/>
      <c r="M653" s="253"/>
      <c r="N653" s="253"/>
      <c r="O653" s="253"/>
      <c r="P653" s="105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53"/>
      <c r="J654" s="253"/>
      <c r="K654" s="253"/>
      <c r="L654" s="253"/>
      <c r="M654" s="253"/>
      <c r="N654" s="253"/>
      <c r="O654" s="253"/>
      <c r="P654" s="105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53"/>
      <c r="J655" s="253"/>
      <c r="K655" s="253"/>
      <c r="L655" s="253"/>
      <c r="M655" s="253"/>
      <c r="N655" s="253"/>
      <c r="O655" s="253"/>
      <c r="P655" s="105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53"/>
      <c r="J656" s="253"/>
      <c r="K656" s="253"/>
      <c r="L656" s="253"/>
      <c r="M656" s="253"/>
      <c r="N656" s="253"/>
      <c r="O656" s="253"/>
      <c r="P656" s="105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53"/>
      <c r="J657" s="253"/>
      <c r="K657" s="253"/>
      <c r="L657" s="253"/>
      <c r="M657" s="253"/>
      <c r="N657" s="253"/>
      <c r="O657" s="253"/>
      <c r="P657" s="105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53"/>
      <c r="J658" s="253"/>
      <c r="K658" s="253"/>
      <c r="L658" s="253"/>
      <c r="M658" s="253"/>
      <c r="N658" s="253"/>
      <c r="O658" s="253"/>
      <c r="P658" s="105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53"/>
      <c r="J659" s="253"/>
      <c r="K659" s="253"/>
      <c r="L659" s="253"/>
      <c r="M659" s="253"/>
      <c r="N659" s="253"/>
      <c r="O659" s="253"/>
      <c r="P659" s="105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53"/>
      <c r="J660" s="253"/>
      <c r="K660" s="253"/>
      <c r="L660" s="253"/>
      <c r="M660" s="253"/>
      <c r="N660" s="253"/>
      <c r="O660" s="253"/>
      <c r="P660" s="105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53"/>
      <c r="J661" s="253"/>
      <c r="K661" s="253"/>
      <c r="L661" s="253"/>
      <c r="M661" s="253"/>
      <c r="N661" s="253"/>
      <c r="O661" s="253"/>
      <c r="P661" s="105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53"/>
      <c r="J662" s="253"/>
      <c r="K662" s="253"/>
      <c r="L662" s="253"/>
      <c r="M662" s="253"/>
      <c r="N662" s="253"/>
      <c r="O662" s="253"/>
      <c r="P662" s="105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53"/>
      <c r="J663" s="253"/>
      <c r="K663" s="253"/>
      <c r="L663" s="253"/>
      <c r="M663" s="253"/>
      <c r="N663" s="253"/>
      <c r="O663" s="253"/>
      <c r="P663" s="105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53"/>
      <c r="J664" s="253"/>
      <c r="K664" s="253"/>
      <c r="L664" s="253"/>
      <c r="M664" s="253"/>
      <c r="N664" s="253"/>
      <c r="O664" s="253"/>
      <c r="P664" s="105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53"/>
      <c r="J665" s="253"/>
      <c r="K665" s="253"/>
      <c r="L665" s="253"/>
      <c r="M665" s="253"/>
      <c r="N665" s="253"/>
      <c r="O665" s="253"/>
      <c r="P665" s="105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53"/>
      <c r="J666" s="253"/>
      <c r="K666" s="253"/>
      <c r="L666" s="253"/>
      <c r="M666" s="253"/>
      <c r="N666" s="253"/>
      <c r="O666" s="253"/>
      <c r="P666" s="105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53"/>
      <c r="J667" s="253"/>
      <c r="K667" s="253"/>
      <c r="L667" s="253"/>
      <c r="M667" s="253"/>
      <c r="N667" s="253"/>
      <c r="O667" s="253"/>
      <c r="P667" s="105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53"/>
      <c r="J668" s="253"/>
      <c r="K668" s="253"/>
      <c r="L668" s="253"/>
      <c r="M668" s="253"/>
      <c r="N668" s="253"/>
      <c r="O668" s="253"/>
      <c r="P668" s="105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53"/>
      <c r="J669" s="253"/>
      <c r="K669" s="253"/>
      <c r="L669" s="253"/>
      <c r="M669" s="253"/>
      <c r="N669" s="253"/>
      <c r="O669" s="253"/>
      <c r="P669" s="105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53"/>
      <c r="J670" s="253"/>
      <c r="K670" s="253"/>
      <c r="L670" s="253"/>
      <c r="M670" s="253"/>
      <c r="N670" s="253"/>
      <c r="O670" s="253"/>
      <c r="P670" s="105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53"/>
      <c r="J671" s="253"/>
      <c r="K671" s="253"/>
      <c r="L671" s="253"/>
      <c r="M671" s="253"/>
      <c r="N671" s="253"/>
      <c r="O671" s="253"/>
      <c r="P671" s="105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53"/>
      <c r="J672" s="253"/>
      <c r="K672" s="253"/>
      <c r="L672" s="253"/>
      <c r="M672" s="253"/>
      <c r="N672" s="253"/>
      <c r="O672" s="253"/>
      <c r="P672" s="105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53"/>
      <c r="J673" s="253"/>
      <c r="K673" s="253"/>
      <c r="L673" s="253"/>
      <c r="M673" s="253"/>
      <c r="N673" s="253"/>
      <c r="O673" s="253"/>
      <c r="P673" s="105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53"/>
      <c r="J674" s="253"/>
      <c r="K674" s="253"/>
      <c r="L674" s="253"/>
      <c r="M674" s="253"/>
      <c r="N674" s="253"/>
      <c r="O674" s="253"/>
      <c r="P674" s="105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53"/>
      <c r="J675" s="253"/>
      <c r="K675" s="253"/>
      <c r="L675" s="253"/>
      <c r="M675" s="253"/>
      <c r="N675" s="253"/>
      <c r="O675" s="253"/>
      <c r="P675" s="105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53"/>
      <c r="J676" s="253"/>
      <c r="K676" s="253"/>
      <c r="L676" s="253"/>
      <c r="M676" s="253"/>
      <c r="N676" s="253"/>
      <c r="O676" s="253"/>
      <c r="P676" s="105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53"/>
      <c r="J677" s="253"/>
      <c r="K677" s="253"/>
      <c r="L677" s="253"/>
      <c r="M677" s="253"/>
      <c r="N677" s="253"/>
      <c r="O677" s="253"/>
      <c r="P677" s="105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53"/>
      <c r="J678" s="253"/>
      <c r="K678" s="253"/>
      <c r="L678" s="253"/>
      <c r="M678" s="253"/>
      <c r="N678" s="253"/>
      <c r="O678" s="253"/>
      <c r="P678" s="105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53"/>
      <c r="J679" s="253"/>
      <c r="K679" s="253"/>
      <c r="L679" s="253"/>
      <c r="M679" s="253"/>
      <c r="N679" s="253"/>
      <c r="O679" s="253"/>
      <c r="P679" s="105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53"/>
      <c r="J680" s="253"/>
      <c r="K680" s="253"/>
      <c r="L680" s="253"/>
      <c r="M680" s="253"/>
      <c r="N680" s="253"/>
      <c r="O680" s="253"/>
      <c r="P680" s="105">
        <v>2</v>
      </c>
    </row>
    <row r="681" spans="1:16">
      <c r="A681" s="38">
        <v>314</v>
      </c>
      <c r="B681" s="38" t="s">
        <v>4</v>
      </c>
      <c r="C681" s="14" t="s">
        <v>1797</v>
      </c>
      <c r="D681" s="13"/>
      <c r="E681" s="13"/>
      <c r="F681" s="13"/>
      <c r="G681" s="13"/>
      <c r="H681" s="13">
        <v>2</v>
      </c>
      <c r="I681" s="253"/>
      <c r="J681" s="253"/>
      <c r="K681" s="253"/>
      <c r="L681" s="253"/>
      <c r="M681" s="253"/>
      <c r="N681" s="253"/>
      <c r="O681" s="253"/>
      <c r="P681" s="105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53"/>
      <c r="J682" s="253"/>
      <c r="K682" s="253"/>
      <c r="L682" s="253"/>
      <c r="M682" s="253"/>
      <c r="N682" s="253"/>
      <c r="O682" s="253"/>
      <c r="P682" s="105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53"/>
      <c r="J683" s="253"/>
      <c r="K683" s="253"/>
      <c r="L683" s="253"/>
      <c r="M683" s="253"/>
      <c r="N683" s="253"/>
      <c r="O683" s="253"/>
      <c r="P683" s="105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53"/>
      <c r="J684" s="253"/>
      <c r="K684" s="253"/>
      <c r="L684" s="253"/>
      <c r="M684" s="253"/>
      <c r="N684" s="253"/>
      <c r="O684" s="253"/>
      <c r="P684" s="105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53"/>
      <c r="J685" s="253"/>
      <c r="K685" s="253"/>
      <c r="L685" s="253"/>
      <c r="M685" s="253"/>
      <c r="N685" s="253"/>
      <c r="O685" s="253"/>
      <c r="P685" s="105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53"/>
      <c r="J686" s="253"/>
      <c r="K686" s="253"/>
      <c r="L686" s="253"/>
      <c r="M686" s="253"/>
      <c r="N686" s="253"/>
      <c r="O686" s="253"/>
      <c r="P686" s="105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53"/>
      <c r="J687" s="253"/>
      <c r="K687" s="253"/>
      <c r="L687" s="253"/>
      <c r="M687" s="253"/>
      <c r="N687" s="253"/>
      <c r="O687" s="253"/>
      <c r="P687" s="105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53"/>
      <c r="J688" s="253"/>
      <c r="K688" s="253"/>
      <c r="L688" s="253"/>
      <c r="M688" s="253"/>
      <c r="N688" s="253"/>
      <c r="O688" s="253"/>
      <c r="P688" s="105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53"/>
      <c r="J689" s="253"/>
      <c r="K689" s="253"/>
      <c r="L689" s="253"/>
      <c r="M689" s="253"/>
      <c r="N689" s="253"/>
      <c r="O689" s="253"/>
      <c r="P689" s="105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53"/>
      <c r="J690" s="253"/>
      <c r="K690" s="253"/>
      <c r="L690" s="253"/>
      <c r="M690" s="253"/>
      <c r="N690" s="253"/>
      <c r="O690" s="253"/>
      <c r="P690" s="105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53"/>
      <c r="J691" s="253"/>
      <c r="K691" s="253"/>
      <c r="L691" s="253"/>
      <c r="M691" s="253"/>
      <c r="N691" s="253"/>
      <c r="O691" s="253"/>
      <c r="P691" s="105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53"/>
      <c r="J692" s="253"/>
      <c r="K692" s="253"/>
      <c r="L692" s="253"/>
      <c r="M692" s="253"/>
      <c r="N692" s="253"/>
      <c r="O692" s="253"/>
      <c r="P692" s="105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53"/>
      <c r="J693" s="253"/>
      <c r="K693" s="253"/>
      <c r="L693" s="253"/>
      <c r="M693" s="253"/>
      <c r="N693" s="253"/>
      <c r="O693" s="253"/>
      <c r="P693" s="105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53"/>
      <c r="J694" s="253"/>
      <c r="K694" s="253"/>
      <c r="L694" s="253"/>
      <c r="M694" s="253"/>
      <c r="N694" s="253"/>
      <c r="O694" s="253"/>
      <c r="P694" s="105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53"/>
      <c r="J695" s="253"/>
      <c r="K695" s="253"/>
      <c r="L695" s="253"/>
      <c r="M695" s="253"/>
      <c r="N695" s="253"/>
      <c r="O695" s="253"/>
      <c r="P695" s="105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53"/>
      <c r="J696" s="253"/>
      <c r="K696" s="253"/>
      <c r="L696" s="253"/>
      <c r="M696" s="253"/>
      <c r="N696" s="253"/>
      <c r="O696" s="253"/>
      <c r="P696" s="105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53"/>
      <c r="J697" s="253"/>
      <c r="K697" s="253"/>
      <c r="L697" s="253"/>
      <c r="M697" s="253"/>
      <c r="N697" s="253"/>
      <c r="O697" s="253"/>
      <c r="P697" s="105">
        <v>2</v>
      </c>
    </row>
    <row r="698" spans="1:16">
      <c r="A698" s="38">
        <v>331</v>
      </c>
      <c r="B698" s="38" t="s">
        <v>4</v>
      </c>
      <c r="C698" s="14" t="s">
        <v>1798</v>
      </c>
      <c r="D698" s="13"/>
      <c r="E698" s="13"/>
      <c r="F698" s="13"/>
      <c r="G698" s="13"/>
      <c r="H698" s="13">
        <v>2</v>
      </c>
      <c r="I698" s="253"/>
      <c r="J698" s="253"/>
      <c r="K698" s="253"/>
      <c r="L698" s="253"/>
      <c r="M698" s="253"/>
      <c r="N698" s="253"/>
      <c r="O698" s="253"/>
      <c r="P698" s="105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53"/>
      <c r="J699" s="253"/>
      <c r="K699" s="253"/>
      <c r="L699" s="253"/>
      <c r="M699" s="253"/>
      <c r="N699" s="253"/>
      <c r="O699" s="253"/>
      <c r="P699" s="105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53"/>
      <c r="J700" s="253"/>
      <c r="K700" s="253"/>
      <c r="L700" s="253"/>
      <c r="M700" s="253"/>
      <c r="N700" s="253"/>
      <c r="O700" s="253"/>
      <c r="P700" s="105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53"/>
      <c r="J701" s="253"/>
      <c r="K701" s="253"/>
      <c r="L701" s="253"/>
      <c r="M701" s="253"/>
      <c r="N701" s="253"/>
      <c r="O701" s="253"/>
      <c r="P701" s="105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53"/>
      <c r="J702" s="253"/>
      <c r="K702" s="253"/>
      <c r="L702" s="253"/>
      <c r="M702" s="253"/>
      <c r="N702" s="253"/>
      <c r="O702" s="253"/>
      <c r="P702" s="105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53"/>
      <c r="J703" s="253"/>
      <c r="K703" s="253"/>
      <c r="L703" s="253"/>
      <c r="M703" s="253"/>
      <c r="N703" s="253"/>
      <c r="O703" s="253"/>
      <c r="P703" s="105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53"/>
      <c r="J704" s="253"/>
      <c r="K704" s="253"/>
      <c r="L704" s="253"/>
      <c r="M704" s="253"/>
      <c r="N704" s="253"/>
      <c r="O704" s="253"/>
      <c r="P704" s="105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53"/>
      <c r="J705" s="253"/>
      <c r="K705" s="253"/>
      <c r="L705" s="253"/>
      <c r="M705" s="253"/>
      <c r="N705" s="253"/>
      <c r="O705" s="253"/>
      <c r="P705" s="105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53"/>
      <c r="J706" s="253"/>
      <c r="K706" s="253"/>
      <c r="L706" s="253"/>
      <c r="M706" s="253"/>
      <c r="N706" s="253"/>
      <c r="O706" s="253"/>
      <c r="P706" s="105">
        <v>2</v>
      </c>
    </row>
    <row r="707" spans="1:16">
      <c r="A707" s="38">
        <v>340</v>
      </c>
      <c r="B707" s="38" t="s">
        <v>4</v>
      </c>
      <c r="C707" s="14" t="s">
        <v>1799</v>
      </c>
      <c r="D707" s="13"/>
      <c r="E707" s="13"/>
      <c r="F707" s="13"/>
      <c r="G707" s="13"/>
      <c r="H707" s="13">
        <v>2</v>
      </c>
      <c r="I707" s="253"/>
      <c r="J707" s="253"/>
      <c r="K707" s="253"/>
      <c r="L707" s="253"/>
      <c r="M707" s="253"/>
      <c r="N707" s="253"/>
      <c r="O707" s="253"/>
      <c r="P707" s="105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53"/>
      <c r="J708" s="253"/>
      <c r="K708" s="253"/>
      <c r="L708" s="253"/>
      <c r="M708" s="253"/>
      <c r="N708" s="253"/>
      <c r="O708" s="253"/>
      <c r="P708" s="105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53"/>
      <c r="J709" s="253"/>
      <c r="K709" s="253"/>
      <c r="L709" s="253"/>
      <c r="M709" s="253"/>
      <c r="N709" s="253"/>
      <c r="O709" s="253"/>
      <c r="P709" s="105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53"/>
      <c r="J710" s="253"/>
      <c r="K710" s="253"/>
      <c r="L710" s="253"/>
      <c r="M710" s="253"/>
      <c r="N710" s="253"/>
      <c r="O710" s="253"/>
      <c r="P710" s="105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53"/>
      <c r="J711" s="253"/>
      <c r="K711" s="253"/>
      <c r="L711" s="253"/>
      <c r="M711" s="253"/>
      <c r="N711" s="253"/>
      <c r="O711" s="253"/>
      <c r="P711" s="105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53"/>
      <c r="J712" s="253"/>
      <c r="K712" s="253"/>
      <c r="L712" s="253"/>
      <c r="M712" s="253"/>
      <c r="N712" s="253"/>
      <c r="O712" s="253"/>
      <c r="P712" s="105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53"/>
      <c r="J713" s="253"/>
      <c r="K713" s="253"/>
      <c r="L713" s="253"/>
      <c r="M713" s="253"/>
      <c r="N713" s="253"/>
      <c r="O713" s="253"/>
      <c r="P713" s="105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53"/>
      <c r="J714" s="253"/>
      <c r="K714" s="253"/>
      <c r="L714" s="253"/>
      <c r="M714" s="253"/>
      <c r="N714" s="253"/>
      <c r="O714" s="253"/>
      <c r="P714" s="105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53"/>
      <c r="J715" s="253"/>
      <c r="K715" s="253"/>
      <c r="L715" s="253"/>
      <c r="M715" s="253"/>
      <c r="N715" s="253"/>
      <c r="O715" s="253"/>
      <c r="P715" s="105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53"/>
      <c r="J716" s="253"/>
      <c r="K716" s="253"/>
      <c r="L716" s="253"/>
      <c r="M716" s="253"/>
      <c r="N716" s="253"/>
      <c r="O716" s="253"/>
      <c r="P716" s="105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53"/>
      <c r="J717" s="253"/>
      <c r="K717" s="253"/>
      <c r="L717" s="253"/>
      <c r="M717" s="253"/>
      <c r="N717" s="253"/>
      <c r="O717" s="253"/>
      <c r="P717" s="105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54"/>
      <c r="J718" s="254"/>
      <c r="K718" s="254"/>
      <c r="L718" s="254"/>
      <c r="M718" s="254"/>
      <c r="N718" s="254"/>
      <c r="O718" s="254"/>
      <c r="P718" s="105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54"/>
      <c r="J719" s="254"/>
      <c r="K719" s="254"/>
      <c r="L719" s="254"/>
      <c r="M719" s="254"/>
      <c r="N719" s="254"/>
      <c r="O719" s="254"/>
      <c r="P719" s="105">
        <v>2</v>
      </c>
    </row>
    <row r="720" spans="1:16">
      <c r="A720" s="38">
        <v>353</v>
      </c>
      <c r="B720" s="38" t="s">
        <v>4</v>
      </c>
      <c r="C720" s="14" t="s">
        <v>1800</v>
      </c>
      <c r="D720" s="13"/>
      <c r="E720" s="13"/>
      <c r="F720" s="13"/>
      <c r="G720" s="13">
        <v>1</v>
      </c>
      <c r="H720" s="13">
        <v>1</v>
      </c>
      <c r="I720" s="254"/>
      <c r="J720" s="254"/>
      <c r="K720" s="254"/>
      <c r="L720" s="254"/>
      <c r="M720" s="254"/>
      <c r="N720" s="254"/>
      <c r="O720" s="254"/>
      <c r="P720" s="105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54"/>
      <c r="J721" s="254"/>
      <c r="K721" s="254"/>
      <c r="L721" s="254"/>
      <c r="M721" s="254"/>
      <c r="N721" s="254"/>
      <c r="O721" s="254"/>
      <c r="P721" s="105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54"/>
      <c r="J722" s="254"/>
      <c r="K722" s="254"/>
      <c r="L722" s="254"/>
      <c r="M722" s="254"/>
      <c r="N722" s="254"/>
      <c r="O722" s="254"/>
      <c r="P722" s="105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54"/>
      <c r="J723" s="254"/>
      <c r="K723" s="254"/>
      <c r="L723" s="254"/>
      <c r="M723" s="254"/>
      <c r="N723" s="254"/>
      <c r="O723" s="254"/>
      <c r="P723" s="105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54"/>
      <c r="J724" s="254"/>
      <c r="K724" s="254"/>
      <c r="L724" s="254"/>
      <c r="M724" s="254"/>
      <c r="N724" s="254"/>
      <c r="O724" s="254"/>
      <c r="P724" s="105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54"/>
      <c r="J725" s="254"/>
      <c r="K725" s="254"/>
      <c r="L725" s="254"/>
      <c r="M725" s="254"/>
      <c r="N725" s="254"/>
      <c r="O725" s="254"/>
      <c r="P725" s="105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54"/>
      <c r="J726" s="254"/>
      <c r="K726" s="254"/>
      <c r="L726" s="254"/>
      <c r="M726" s="254"/>
      <c r="N726" s="254"/>
      <c r="O726" s="254"/>
      <c r="P726" s="105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54"/>
      <c r="J727" s="254"/>
      <c r="K727" s="254"/>
      <c r="L727" s="254"/>
      <c r="M727" s="254"/>
      <c r="N727" s="254"/>
      <c r="O727" s="254"/>
      <c r="P727" s="105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54"/>
      <c r="J728" s="254"/>
      <c r="K728" s="254"/>
      <c r="L728" s="254"/>
      <c r="M728" s="254"/>
      <c r="N728" s="254"/>
      <c r="O728" s="254"/>
      <c r="P728" s="105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54"/>
      <c r="J729" s="254"/>
      <c r="K729" s="254"/>
      <c r="L729" s="254"/>
      <c r="M729" s="254"/>
      <c r="N729" s="254"/>
      <c r="O729" s="254"/>
      <c r="P729" s="105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54"/>
      <c r="J730" s="254"/>
      <c r="K730" s="254"/>
      <c r="L730" s="254"/>
      <c r="M730" s="254"/>
      <c r="N730" s="254"/>
      <c r="O730" s="254"/>
      <c r="P730" s="105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54"/>
      <c r="J731" s="254"/>
      <c r="K731" s="254"/>
      <c r="L731" s="254"/>
      <c r="M731" s="254"/>
      <c r="N731" s="254"/>
      <c r="O731" s="254"/>
      <c r="P731" s="105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54"/>
      <c r="J732" s="254"/>
      <c r="K732" s="254"/>
      <c r="L732" s="254"/>
      <c r="M732" s="254"/>
      <c r="N732" s="254"/>
      <c r="O732" s="254"/>
      <c r="P732" s="105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54"/>
      <c r="J733" s="254"/>
      <c r="K733" s="254"/>
      <c r="L733" s="254"/>
      <c r="M733" s="254"/>
      <c r="N733" s="254"/>
      <c r="O733" s="254"/>
      <c r="P733" s="105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54"/>
      <c r="J734" s="254"/>
      <c r="K734" s="254"/>
      <c r="L734" s="254"/>
      <c r="M734" s="254"/>
      <c r="N734" s="254"/>
      <c r="O734" s="254"/>
      <c r="P734" s="105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54"/>
      <c r="J735" s="254"/>
      <c r="K735" s="254"/>
      <c r="L735" s="254"/>
      <c r="M735" s="254"/>
      <c r="N735" s="254"/>
      <c r="O735" s="254"/>
      <c r="P735" s="105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54"/>
      <c r="J736" s="254"/>
      <c r="K736" s="254"/>
      <c r="L736" s="254"/>
      <c r="M736" s="254"/>
      <c r="N736" s="254"/>
      <c r="O736" s="254"/>
      <c r="P736" s="105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54"/>
      <c r="J737" s="254"/>
      <c r="K737" s="254"/>
      <c r="L737" s="254"/>
      <c r="M737" s="254"/>
      <c r="N737" s="254"/>
      <c r="O737" s="254"/>
      <c r="P737" s="105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54"/>
      <c r="J738" s="254"/>
      <c r="K738" s="254"/>
      <c r="L738" s="254"/>
      <c r="M738" s="254"/>
      <c r="N738" s="254"/>
      <c r="O738" s="254"/>
      <c r="P738" s="105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54"/>
      <c r="J739" s="254"/>
      <c r="K739" s="254"/>
      <c r="L739" s="254"/>
      <c r="M739" s="254"/>
      <c r="N739" s="254"/>
      <c r="O739" s="254"/>
      <c r="P739" s="105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54"/>
      <c r="J740" s="254"/>
      <c r="K740" s="254"/>
      <c r="L740" s="254"/>
      <c r="M740" s="254"/>
      <c r="N740" s="254"/>
      <c r="O740" s="254"/>
      <c r="P740" s="105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54"/>
      <c r="J741" s="254"/>
      <c r="K741" s="254"/>
      <c r="L741" s="254"/>
      <c r="M741" s="254"/>
      <c r="N741" s="254"/>
      <c r="O741" s="254"/>
      <c r="P741" s="105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54"/>
      <c r="J742" s="254"/>
      <c r="K742" s="254"/>
      <c r="L742" s="254"/>
      <c r="M742" s="254"/>
      <c r="N742" s="254"/>
      <c r="O742" s="254"/>
      <c r="P742" s="105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54"/>
      <c r="J743" s="254"/>
      <c r="K743" s="254"/>
      <c r="L743" s="254"/>
      <c r="M743" s="254"/>
      <c r="N743" s="254"/>
      <c r="O743" s="254"/>
      <c r="P743" s="105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54"/>
      <c r="J744" s="254"/>
      <c r="K744" s="254"/>
      <c r="L744" s="254"/>
      <c r="M744" s="254"/>
      <c r="N744" s="254"/>
      <c r="O744" s="254"/>
      <c r="P744" s="105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54"/>
      <c r="J745" s="254"/>
      <c r="K745" s="254"/>
      <c r="L745" s="254"/>
      <c r="M745" s="254"/>
      <c r="N745" s="254"/>
      <c r="O745" s="254"/>
      <c r="P745" s="105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54"/>
      <c r="J746" s="254"/>
      <c r="K746" s="254"/>
      <c r="L746" s="254"/>
      <c r="M746" s="254"/>
      <c r="N746" s="254"/>
      <c r="O746" s="254"/>
      <c r="P746" s="105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54"/>
      <c r="J747" s="254"/>
      <c r="K747" s="254"/>
      <c r="L747" s="254"/>
      <c r="M747" s="254"/>
      <c r="N747" s="254"/>
      <c r="O747" s="254"/>
      <c r="P747" s="105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54"/>
      <c r="J748" s="254"/>
      <c r="K748" s="254"/>
      <c r="L748" s="254"/>
      <c r="M748" s="254"/>
      <c r="N748" s="254"/>
      <c r="O748" s="254"/>
      <c r="P748" s="105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54"/>
      <c r="J749" s="254"/>
      <c r="K749" s="254"/>
      <c r="L749" s="254"/>
      <c r="M749" s="254"/>
      <c r="N749" s="254"/>
      <c r="O749" s="254"/>
      <c r="P749" s="105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54"/>
      <c r="J750" s="254"/>
      <c r="K750" s="254"/>
      <c r="L750" s="254"/>
      <c r="M750" s="254"/>
      <c r="N750" s="254"/>
      <c r="O750" s="254"/>
      <c r="P750" s="105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54"/>
      <c r="J751" s="254"/>
      <c r="K751" s="254"/>
      <c r="L751" s="254"/>
      <c r="M751" s="254"/>
      <c r="N751" s="254"/>
      <c r="O751" s="254"/>
      <c r="P751" s="105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54"/>
      <c r="J752" s="254"/>
      <c r="K752" s="254"/>
      <c r="L752" s="254"/>
      <c r="M752" s="254"/>
      <c r="N752" s="254"/>
      <c r="O752" s="254"/>
      <c r="P752" s="105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54"/>
      <c r="J753" s="254"/>
      <c r="K753" s="254"/>
      <c r="L753" s="254"/>
      <c r="M753" s="254"/>
      <c r="N753" s="254"/>
      <c r="O753" s="254"/>
      <c r="P753" s="105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54"/>
      <c r="J754" s="254"/>
      <c r="K754" s="254"/>
      <c r="L754" s="254"/>
      <c r="M754" s="254"/>
      <c r="N754" s="254"/>
      <c r="O754" s="254"/>
      <c r="P754" s="105">
        <v>1</v>
      </c>
    </row>
    <row r="755" spans="1:16">
      <c r="A755" s="38">
        <v>388</v>
      </c>
      <c r="B755" s="38" t="s">
        <v>4</v>
      </c>
      <c r="C755" s="14" t="s">
        <v>1801</v>
      </c>
      <c r="D755" s="13"/>
      <c r="E755" s="13"/>
      <c r="F755" s="13"/>
      <c r="G755" s="13"/>
      <c r="H755" s="13">
        <v>1</v>
      </c>
      <c r="I755" s="254"/>
      <c r="J755" s="254"/>
      <c r="K755" s="254"/>
      <c r="L755" s="254"/>
      <c r="M755" s="254"/>
      <c r="N755" s="254"/>
      <c r="O755" s="254"/>
      <c r="P755" s="105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54"/>
      <c r="J756" s="254"/>
      <c r="K756" s="254"/>
      <c r="L756" s="254"/>
      <c r="M756" s="254"/>
      <c r="N756" s="254"/>
      <c r="O756" s="254"/>
      <c r="P756" s="105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54"/>
      <c r="J757" s="254"/>
      <c r="K757" s="254"/>
      <c r="L757" s="254"/>
      <c r="M757" s="254"/>
      <c r="N757" s="254"/>
      <c r="O757" s="254"/>
      <c r="P757" s="105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54"/>
      <c r="J758" s="254"/>
      <c r="K758" s="254"/>
      <c r="L758" s="254"/>
      <c r="M758" s="254"/>
      <c r="N758" s="254"/>
      <c r="O758" s="254"/>
      <c r="P758" s="105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54"/>
      <c r="J759" s="254"/>
      <c r="K759" s="254"/>
      <c r="L759" s="254"/>
      <c r="M759" s="254"/>
      <c r="N759" s="254"/>
      <c r="O759" s="254"/>
      <c r="P759" s="105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54"/>
      <c r="J760" s="254"/>
      <c r="K760" s="254"/>
      <c r="L760" s="254"/>
      <c r="M760" s="254"/>
      <c r="N760" s="254"/>
      <c r="O760" s="254"/>
      <c r="P760" s="105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54"/>
      <c r="J761" s="254"/>
      <c r="K761" s="254"/>
      <c r="L761" s="254"/>
      <c r="M761" s="254"/>
      <c r="N761" s="254"/>
      <c r="O761" s="254"/>
      <c r="P761" s="105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54"/>
      <c r="J762" s="254"/>
      <c r="K762" s="254"/>
      <c r="L762" s="254"/>
      <c r="M762" s="254"/>
      <c r="N762" s="254"/>
      <c r="O762" s="254"/>
      <c r="P762" s="105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54"/>
      <c r="J763" s="254"/>
      <c r="K763" s="254"/>
      <c r="L763" s="254"/>
      <c r="M763" s="254"/>
      <c r="N763" s="254"/>
      <c r="O763" s="254"/>
      <c r="P763" s="105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54"/>
      <c r="J764" s="254"/>
      <c r="K764" s="254"/>
      <c r="L764" s="254"/>
      <c r="M764" s="254"/>
      <c r="N764" s="254"/>
      <c r="O764" s="254"/>
      <c r="P764" s="105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54"/>
      <c r="J765" s="254"/>
      <c r="K765" s="254"/>
      <c r="L765" s="254"/>
      <c r="M765" s="254"/>
      <c r="N765" s="254"/>
      <c r="O765" s="254"/>
      <c r="P765" s="105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54"/>
      <c r="J766" s="254"/>
      <c r="K766" s="254"/>
      <c r="L766" s="254"/>
      <c r="M766" s="254"/>
      <c r="N766" s="254"/>
      <c r="O766" s="254"/>
      <c r="P766" s="105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54"/>
      <c r="J767" s="254"/>
      <c r="K767" s="254"/>
      <c r="L767" s="254"/>
      <c r="M767" s="254"/>
      <c r="N767" s="254"/>
      <c r="O767" s="254"/>
      <c r="P767" s="105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54"/>
      <c r="J768" s="254"/>
      <c r="K768" s="254"/>
      <c r="L768" s="254"/>
      <c r="M768" s="254"/>
      <c r="N768" s="254"/>
      <c r="O768" s="254"/>
      <c r="P768" s="105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54"/>
      <c r="J769" s="254"/>
      <c r="K769" s="254"/>
      <c r="L769" s="254"/>
      <c r="M769" s="254"/>
      <c r="N769" s="254"/>
      <c r="O769" s="254"/>
      <c r="P769" s="105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54"/>
      <c r="J770" s="254"/>
      <c r="K770" s="254"/>
      <c r="L770" s="254"/>
      <c r="M770" s="254"/>
      <c r="N770" s="254"/>
      <c r="O770" s="254"/>
      <c r="P770" s="105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54"/>
      <c r="J771" s="254"/>
      <c r="K771" s="254"/>
      <c r="L771" s="254"/>
      <c r="M771" s="254"/>
      <c r="N771" s="254"/>
      <c r="O771" s="254"/>
      <c r="P771" s="105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54"/>
      <c r="J772" s="254"/>
      <c r="K772" s="254"/>
      <c r="L772" s="254"/>
      <c r="M772" s="254"/>
      <c r="N772" s="254"/>
      <c r="O772" s="254"/>
      <c r="P772" s="105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54"/>
      <c r="J773" s="254"/>
      <c r="K773" s="254"/>
      <c r="L773" s="254"/>
      <c r="M773" s="254"/>
      <c r="N773" s="254"/>
      <c r="O773" s="254"/>
      <c r="P773" s="105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54"/>
      <c r="J774" s="254"/>
      <c r="K774" s="254"/>
      <c r="L774" s="254"/>
      <c r="M774" s="254"/>
      <c r="N774" s="254"/>
      <c r="O774" s="254"/>
      <c r="P774" s="105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54"/>
      <c r="J775" s="254"/>
      <c r="K775" s="254"/>
      <c r="L775" s="254"/>
      <c r="M775" s="254"/>
      <c r="N775" s="254"/>
      <c r="O775" s="254"/>
      <c r="P775" s="105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54"/>
      <c r="J776" s="254"/>
      <c r="K776" s="254"/>
      <c r="L776" s="254"/>
      <c r="M776" s="254"/>
      <c r="N776" s="254"/>
      <c r="O776" s="254"/>
      <c r="P776" s="105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54"/>
      <c r="J777" s="254"/>
      <c r="K777" s="254"/>
      <c r="L777" s="254"/>
      <c r="M777" s="254"/>
      <c r="N777" s="254"/>
      <c r="O777" s="254"/>
      <c r="P777" s="105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54"/>
      <c r="J778" s="254"/>
      <c r="K778" s="254"/>
      <c r="L778" s="254"/>
      <c r="M778" s="254"/>
      <c r="N778" s="254"/>
      <c r="O778" s="254"/>
      <c r="P778" s="105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54"/>
      <c r="J779" s="254"/>
      <c r="K779" s="254"/>
      <c r="L779" s="254"/>
      <c r="M779" s="254"/>
      <c r="N779" s="254"/>
      <c r="O779" s="254"/>
      <c r="P779" s="105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54"/>
      <c r="J780" s="254"/>
      <c r="K780" s="254"/>
      <c r="L780" s="254"/>
      <c r="M780" s="254"/>
      <c r="N780" s="254"/>
      <c r="O780" s="254"/>
      <c r="P780" s="105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54"/>
      <c r="J781" s="254"/>
      <c r="K781" s="254"/>
      <c r="L781" s="254"/>
      <c r="M781" s="254"/>
      <c r="N781" s="254"/>
      <c r="O781" s="254"/>
      <c r="P781" s="105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54"/>
      <c r="J782" s="254"/>
      <c r="K782" s="254"/>
      <c r="L782" s="254"/>
      <c r="M782" s="254"/>
      <c r="N782" s="254"/>
      <c r="O782" s="254"/>
      <c r="P782" s="105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54"/>
      <c r="J783" s="254"/>
      <c r="K783" s="254"/>
      <c r="L783" s="254"/>
      <c r="M783" s="254"/>
      <c r="N783" s="254"/>
      <c r="O783" s="254"/>
      <c r="P783" s="105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54"/>
      <c r="J784" s="254"/>
      <c r="K784" s="254"/>
      <c r="L784" s="254"/>
      <c r="M784" s="254"/>
      <c r="N784" s="254"/>
      <c r="O784" s="254"/>
      <c r="P784" s="105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54"/>
      <c r="J785" s="254"/>
      <c r="K785" s="254"/>
      <c r="L785" s="254"/>
      <c r="M785" s="254"/>
      <c r="N785" s="254"/>
      <c r="O785" s="254"/>
      <c r="P785" s="105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54"/>
      <c r="J786" s="254"/>
      <c r="K786" s="254"/>
      <c r="L786" s="254"/>
      <c r="M786" s="254"/>
      <c r="N786" s="254"/>
      <c r="O786" s="254"/>
      <c r="P786" s="105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54"/>
      <c r="J787" s="254"/>
      <c r="K787" s="254"/>
      <c r="L787" s="254"/>
      <c r="M787" s="254"/>
      <c r="N787" s="254"/>
      <c r="O787" s="254"/>
      <c r="P787" s="105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54"/>
      <c r="J788" s="254"/>
      <c r="K788" s="254"/>
      <c r="L788" s="254"/>
      <c r="M788" s="254"/>
      <c r="N788" s="254"/>
      <c r="O788" s="254"/>
      <c r="P788" s="105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54"/>
      <c r="J789" s="254"/>
      <c r="K789" s="254"/>
      <c r="L789" s="254"/>
      <c r="M789" s="254"/>
      <c r="N789" s="254"/>
      <c r="O789" s="254"/>
      <c r="P789" s="105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54"/>
      <c r="J790" s="254"/>
      <c r="K790" s="254"/>
      <c r="L790" s="254"/>
      <c r="M790" s="254"/>
      <c r="N790" s="254"/>
      <c r="O790" s="254"/>
      <c r="P790" s="105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54"/>
      <c r="J791" s="254"/>
      <c r="K791" s="254"/>
      <c r="L791" s="254"/>
      <c r="M791" s="254"/>
      <c r="N791" s="254"/>
      <c r="O791" s="254"/>
      <c r="P791" s="105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54"/>
      <c r="J792" s="254"/>
      <c r="K792" s="254"/>
      <c r="L792" s="254"/>
      <c r="M792" s="254"/>
      <c r="N792" s="254"/>
      <c r="O792" s="254"/>
      <c r="P792" s="105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54"/>
      <c r="J793" s="254"/>
      <c r="K793" s="254"/>
      <c r="L793" s="254"/>
      <c r="M793" s="254"/>
      <c r="N793" s="254"/>
      <c r="O793" s="254"/>
      <c r="P793" s="105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54"/>
      <c r="J794" s="254"/>
      <c r="K794" s="254"/>
      <c r="L794" s="254"/>
      <c r="M794" s="254"/>
      <c r="N794" s="254"/>
      <c r="O794" s="254"/>
      <c r="P794" s="105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54"/>
      <c r="J795" s="254"/>
      <c r="K795" s="254"/>
      <c r="L795" s="254"/>
      <c r="M795" s="254"/>
      <c r="N795" s="254"/>
      <c r="O795" s="254"/>
      <c r="P795" s="105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54"/>
      <c r="J796" s="254"/>
      <c r="K796" s="254"/>
      <c r="L796" s="254"/>
      <c r="M796" s="254"/>
      <c r="N796" s="254"/>
      <c r="O796" s="254"/>
      <c r="P796" s="105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54"/>
      <c r="J797" s="254"/>
      <c r="K797" s="254"/>
      <c r="L797" s="254"/>
      <c r="M797" s="254"/>
      <c r="N797" s="254"/>
      <c r="O797" s="254"/>
      <c r="P797" s="105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54"/>
      <c r="J798" s="254"/>
      <c r="K798" s="254"/>
      <c r="L798" s="254"/>
      <c r="M798" s="254"/>
      <c r="N798" s="254"/>
      <c r="O798" s="254"/>
      <c r="P798" s="105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54"/>
      <c r="J799" s="254"/>
      <c r="K799" s="254"/>
      <c r="L799" s="254"/>
      <c r="M799" s="254"/>
      <c r="N799" s="254"/>
      <c r="O799" s="254"/>
      <c r="P799" s="105">
        <v>1</v>
      </c>
    </row>
    <row r="800" spans="1:16">
      <c r="A800" s="38">
        <v>433</v>
      </c>
      <c r="B800" s="38" t="s">
        <v>4</v>
      </c>
      <c r="C800" s="14" t="s">
        <v>1802</v>
      </c>
      <c r="D800" s="13"/>
      <c r="E800" s="13"/>
      <c r="F800" s="13"/>
      <c r="G800" s="13"/>
      <c r="H800" s="13">
        <v>1</v>
      </c>
      <c r="I800" s="254"/>
      <c r="J800" s="254"/>
      <c r="K800" s="254"/>
      <c r="L800" s="254"/>
      <c r="M800" s="254"/>
      <c r="N800" s="254"/>
      <c r="O800" s="254"/>
      <c r="P800" s="105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54"/>
      <c r="J801" s="254"/>
      <c r="K801" s="254"/>
      <c r="L801" s="254"/>
      <c r="M801" s="254"/>
      <c r="N801" s="254"/>
      <c r="O801" s="254"/>
      <c r="P801" s="105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54"/>
      <c r="J802" s="254"/>
      <c r="K802" s="254"/>
      <c r="L802" s="254"/>
      <c r="M802" s="254"/>
      <c r="N802" s="254"/>
      <c r="O802" s="254"/>
      <c r="P802" s="105">
        <v>1</v>
      </c>
    </row>
    <row r="803" spans="1:16">
      <c r="A803" s="38">
        <v>436</v>
      </c>
      <c r="B803" s="38" t="s">
        <v>4</v>
      </c>
      <c r="C803" s="14" t="s">
        <v>1803</v>
      </c>
      <c r="D803" s="13"/>
      <c r="E803" s="13"/>
      <c r="F803" s="13"/>
      <c r="G803" s="13"/>
      <c r="H803" s="13">
        <v>1</v>
      </c>
      <c r="I803" s="254"/>
      <c r="J803" s="254"/>
      <c r="K803" s="254"/>
      <c r="L803" s="254"/>
      <c r="M803" s="254"/>
      <c r="N803" s="254"/>
      <c r="O803" s="254"/>
      <c r="P803" s="105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54"/>
      <c r="J804" s="254"/>
      <c r="K804" s="254"/>
      <c r="L804" s="254"/>
      <c r="M804" s="254"/>
      <c r="N804" s="254"/>
      <c r="O804" s="254"/>
      <c r="P804" s="105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54"/>
      <c r="J805" s="254"/>
      <c r="K805" s="254"/>
      <c r="L805" s="254"/>
      <c r="M805" s="254"/>
      <c r="N805" s="254"/>
      <c r="O805" s="254"/>
      <c r="P805" s="105">
        <v>1</v>
      </c>
    </row>
    <row r="806" spans="1:16">
      <c r="A806" s="38">
        <v>439</v>
      </c>
      <c r="B806" s="38" t="s">
        <v>4</v>
      </c>
      <c r="C806" s="14" t="s">
        <v>1804</v>
      </c>
      <c r="D806" s="13"/>
      <c r="E806" s="13"/>
      <c r="F806" s="13"/>
      <c r="G806" s="13"/>
      <c r="H806" s="13">
        <v>1</v>
      </c>
      <c r="I806" s="254"/>
      <c r="J806" s="254"/>
      <c r="K806" s="254"/>
      <c r="L806" s="254"/>
      <c r="M806" s="254"/>
      <c r="N806" s="254"/>
      <c r="O806" s="254"/>
      <c r="P806" s="105">
        <v>1</v>
      </c>
    </row>
    <row r="807" spans="1:16">
      <c r="A807" s="38">
        <v>440</v>
      </c>
      <c r="B807" s="38" t="s">
        <v>4</v>
      </c>
      <c r="C807" s="14" t="s">
        <v>1805</v>
      </c>
      <c r="D807" s="13"/>
      <c r="E807" s="13"/>
      <c r="F807" s="13"/>
      <c r="G807" s="13"/>
      <c r="H807" s="13">
        <v>1</v>
      </c>
      <c r="I807" s="254"/>
      <c r="J807" s="254"/>
      <c r="K807" s="254"/>
      <c r="L807" s="254"/>
      <c r="M807" s="254"/>
      <c r="N807" s="254"/>
      <c r="O807" s="254"/>
      <c r="P807" s="105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54"/>
      <c r="J808" s="254"/>
      <c r="K808" s="254"/>
      <c r="L808" s="254"/>
      <c r="M808" s="254"/>
      <c r="N808" s="254"/>
      <c r="O808" s="254"/>
      <c r="P808" s="105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54"/>
      <c r="J809" s="254"/>
      <c r="K809" s="254"/>
      <c r="L809" s="254"/>
      <c r="M809" s="254"/>
      <c r="N809" s="254"/>
      <c r="O809" s="254"/>
      <c r="P809" s="105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54"/>
      <c r="J810" s="254"/>
      <c r="K810" s="254"/>
      <c r="L810" s="254"/>
      <c r="M810" s="254"/>
      <c r="N810" s="254"/>
      <c r="O810" s="254"/>
      <c r="P810" s="105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54"/>
      <c r="J811" s="254"/>
      <c r="K811" s="254"/>
      <c r="L811" s="254"/>
      <c r="M811" s="254"/>
      <c r="N811" s="254"/>
      <c r="O811" s="254"/>
      <c r="P811" s="105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54"/>
      <c r="J812" s="254"/>
      <c r="K812" s="254"/>
      <c r="L812" s="254"/>
      <c r="M812" s="254"/>
      <c r="N812" s="254"/>
      <c r="O812" s="254"/>
      <c r="P812" s="105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54"/>
      <c r="J813" s="254"/>
      <c r="K813" s="254"/>
      <c r="L813" s="254"/>
      <c r="M813" s="254"/>
      <c r="N813" s="254"/>
      <c r="O813" s="254"/>
      <c r="P813" s="105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54"/>
      <c r="J814" s="254"/>
      <c r="K814" s="254"/>
      <c r="L814" s="254"/>
      <c r="M814" s="254"/>
      <c r="N814" s="254"/>
      <c r="O814" s="254"/>
      <c r="P814" s="105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54"/>
      <c r="J815" s="254"/>
      <c r="K815" s="254"/>
      <c r="L815" s="254"/>
      <c r="M815" s="254"/>
      <c r="N815" s="254"/>
      <c r="O815" s="254"/>
      <c r="P815" s="105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54"/>
      <c r="J816" s="254"/>
      <c r="K816" s="254"/>
      <c r="L816" s="254"/>
      <c r="M816" s="254"/>
      <c r="N816" s="254"/>
      <c r="O816" s="254"/>
      <c r="P816" s="105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54"/>
      <c r="J817" s="254"/>
      <c r="K817" s="254"/>
      <c r="L817" s="254"/>
      <c r="M817" s="254"/>
      <c r="N817" s="254"/>
      <c r="O817" s="254"/>
      <c r="P817" s="105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54"/>
      <c r="J818" s="254"/>
      <c r="K818" s="254"/>
      <c r="L818" s="254"/>
      <c r="M818" s="254"/>
      <c r="N818" s="254"/>
      <c r="O818" s="254"/>
      <c r="P818" s="105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54"/>
      <c r="J819" s="254"/>
      <c r="K819" s="254"/>
      <c r="L819" s="254"/>
      <c r="M819" s="254"/>
      <c r="N819" s="254"/>
      <c r="O819" s="254"/>
      <c r="P819" s="105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54"/>
      <c r="J820" s="254"/>
      <c r="K820" s="254"/>
      <c r="L820" s="254"/>
      <c r="M820" s="254"/>
      <c r="N820" s="254"/>
      <c r="O820" s="254"/>
      <c r="P820" s="105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54"/>
      <c r="J821" s="254"/>
      <c r="K821" s="254"/>
      <c r="L821" s="254"/>
      <c r="M821" s="254"/>
      <c r="N821" s="254"/>
      <c r="O821" s="254"/>
      <c r="P821" s="105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54"/>
      <c r="J822" s="254"/>
      <c r="K822" s="254"/>
      <c r="L822" s="254"/>
      <c r="M822" s="254"/>
      <c r="N822" s="254"/>
      <c r="O822" s="254"/>
      <c r="P822" s="105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54"/>
      <c r="J823" s="254"/>
      <c r="K823" s="254"/>
      <c r="L823" s="254"/>
      <c r="M823" s="254"/>
      <c r="N823" s="254"/>
      <c r="O823" s="254"/>
      <c r="P823" s="105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54"/>
      <c r="J824" s="254"/>
      <c r="K824" s="254"/>
      <c r="L824" s="254"/>
      <c r="M824" s="254"/>
      <c r="N824" s="254"/>
      <c r="O824" s="254"/>
      <c r="P824" s="105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54"/>
      <c r="J825" s="254"/>
      <c r="K825" s="254"/>
      <c r="L825" s="254"/>
      <c r="M825" s="254"/>
      <c r="N825" s="254"/>
      <c r="O825" s="254"/>
      <c r="P825" s="105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54"/>
      <c r="J826" s="254"/>
      <c r="K826" s="254"/>
      <c r="L826" s="254"/>
      <c r="M826" s="254"/>
      <c r="N826" s="254"/>
      <c r="O826" s="254"/>
      <c r="P826" s="105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54"/>
      <c r="J827" s="254"/>
      <c r="K827" s="254"/>
      <c r="L827" s="254"/>
      <c r="M827" s="254"/>
      <c r="N827" s="254"/>
      <c r="O827" s="254"/>
      <c r="P827" s="105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54"/>
      <c r="J828" s="254"/>
      <c r="K828" s="254"/>
      <c r="L828" s="254"/>
      <c r="M828" s="254"/>
      <c r="N828" s="254"/>
      <c r="O828" s="254"/>
      <c r="P828" s="105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54"/>
      <c r="J829" s="254"/>
      <c r="K829" s="254"/>
      <c r="L829" s="254"/>
      <c r="M829" s="254"/>
      <c r="N829" s="254"/>
      <c r="O829" s="254"/>
      <c r="P829" s="105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54"/>
      <c r="J830" s="254"/>
      <c r="K830" s="254"/>
      <c r="L830" s="254"/>
      <c r="M830" s="254"/>
      <c r="N830" s="254"/>
      <c r="O830" s="254"/>
      <c r="P830" s="105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54"/>
      <c r="J831" s="254"/>
      <c r="K831" s="254"/>
      <c r="L831" s="254"/>
      <c r="M831" s="254"/>
      <c r="N831" s="254"/>
      <c r="O831" s="254"/>
      <c r="P831" s="105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54"/>
      <c r="J832" s="254"/>
      <c r="K832" s="254"/>
      <c r="L832" s="254"/>
      <c r="M832" s="254"/>
      <c r="N832" s="254"/>
      <c r="O832" s="254"/>
      <c r="P832" s="105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54"/>
      <c r="J833" s="254"/>
      <c r="K833" s="254"/>
      <c r="L833" s="254"/>
      <c r="M833" s="254"/>
      <c r="N833" s="254"/>
      <c r="O833" s="254"/>
      <c r="P833" s="105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54"/>
      <c r="J834" s="254"/>
      <c r="K834" s="254"/>
      <c r="L834" s="254"/>
      <c r="M834" s="254"/>
      <c r="N834" s="254"/>
      <c r="O834" s="254"/>
      <c r="P834" s="105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54"/>
      <c r="J835" s="254"/>
      <c r="K835" s="254"/>
      <c r="L835" s="254"/>
      <c r="M835" s="254"/>
      <c r="N835" s="254"/>
      <c r="O835" s="254"/>
      <c r="P835" s="105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54"/>
      <c r="J836" s="254"/>
      <c r="K836" s="254"/>
      <c r="L836" s="254"/>
      <c r="M836" s="254"/>
      <c r="N836" s="254"/>
      <c r="O836" s="254"/>
      <c r="P836" s="105">
        <v>1</v>
      </c>
    </row>
    <row r="837" spans="1:16">
      <c r="A837" s="38">
        <v>470</v>
      </c>
      <c r="B837" s="38" t="s">
        <v>4</v>
      </c>
      <c r="C837" s="14" t="s">
        <v>1806</v>
      </c>
      <c r="D837" s="13"/>
      <c r="E837" s="13"/>
      <c r="F837" s="13"/>
      <c r="G837" s="13"/>
      <c r="H837" s="13">
        <v>1</v>
      </c>
      <c r="I837" s="254"/>
      <c r="J837" s="254"/>
      <c r="K837" s="254"/>
      <c r="L837" s="254"/>
      <c r="M837" s="254"/>
      <c r="N837" s="254"/>
      <c r="O837" s="254"/>
      <c r="P837" s="105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54"/>
      <c r="J838" s="254"/>
      <c r="K838" s="254"/>
      <c r="L838" s="254"/>
      <c r="M838" s="254"/>
      <c r="N838" s="254"/>
      <c r="O838" s="254"/>
      <c r="P838" s="105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54"/>
      <c r="J839" s="254"/>
      <c r="K839" s="254"/>
      <c r="L839" s="254"/>
      <c r="M839" s="254"/>
      <c r="N839" s="254"/>
      <c r="O839" s="254"/>
      <c r="P839" s="105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54"/>
      <c r="J840" s="254"/>
      <c r="K840" s="254"/>
      <c r="L840" s="254"/>
      <c r="M840" s="254"/>
      <c r="N840" s="254"/>
      <c r="O840" s="254"/>
      <c r="P840" s="105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54"/>
      <c r="J841" s="254"/>
      <c r="K841" s="254"/>
      <c r="L841" s="254"/>
      <c r="M841" s="254"/>
      <c r="N841" s="254"/>
      <c r="O841" s="254"/>
      <c r="P841" s="105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54"/>
      <c r="J842" s="254"/>
      <c r="K842" s="254"/>
      <c r="L842" s="254"/>
      <c r="M842" s="254"/>
      <c r="N842" s="254"/>
      <c r="O842" s="254"/>
      <c r="P842" s="105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54"/>
      <c r="J843" s="254"/>
      <c r="K843" s="254"/>
      <c r="L843" s="254"/>
      <c r="M843" s="254"/>
      <c r="N843" s="254"/>
      <c r="O843" s="254"/>
      <c r="P843" s="105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54"/>
      <c r="J844" s="254"/>
      <c r="K844" s="254"/>
      <c r="L844" s="254"/>
      <c r="M844" s="254"/>
      <c r="N844" s="254"/>
      <c r="O844" s="254"/>
      <c r="P844" s="105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54"/>
      <c r="J845" s="254"/>
      <c r="K845" s="254"/>
      <c r="L845" s="254"/>
      <c r="M845" s="254"/>
      <c r="N845" s="254"/>
      <c r="O845" s="254"/>
      <c r="P845" s="105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54"/>
      <c r="J846" s="254"/>
      <c r="K846" s="254"/>
      <c r="L846" s="254"/>
      <c r="M846" s="254"/>
      <c r="N846" s="254"/>
      <c r="O846" s="254"/>
      <c r="P846" s="105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54"/>
      <c r="J847" s="254"/>
      <c r="K847" s="254"/>
      <c r="L847" s="254"/>
      <c r="M847" s="254"/>
      <c r="N847" s="254"/>
      <c r="O847" s="254"/>
      <c r="P847" s="105">
        <v>1</v>
      </c>
    </row>
    <row r="848" spans="1:16">
      <c r="A848" s="38">
        <v>481</v>
      </c>
      <c r="B848" s="38" t="s">
        <v>4</v>
      </c>
      <c r="C848" s="14" t="s">
        <v>1807</v>
      </c>
      <c r="D848" s="13"/>
      <c r="E848" s="13"/>
      <c r="F848" s="13"/>
      <c r="G848" s="13"/>
      <c r="H848" s="13">
        <v>1</v>
      </c>
      <c r="I848" s="254"/>
      <c r="J848" s="254"/>
      <c r="K848" s="254"/>
      <c r="L848" s="254"/>
      <c r="M848" s="254"/>
      <c r="N848" s="254"/>
      <c r="O848" s="254"/>
      <c r="P848" s="105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54"/>
      <c r="J849" s="254"/>
      <c r="K849" s="254"/>
      <c r="L849" s="254"/>
      <c r="M849" s="254"/>
      <c r="N849" s="254"/>
      <c r="O849" s="254"/>
      <c r="P849" s="105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54"/>
      <c r="J850" s="254"/>
      <c r="K850" s="254"/>
      <c r="L850" s="254"/>
      <c r="M850" s="254"/>
      <c r="N850" s="254"/>
      <c r="O850" s="254"/>
      <c r="P850" s="105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54"/>
      <c r="J851" s="254"/>
      <c r="K851" s="254"/>
      <c r="L851" s="254"/>
      <c r="M851" s="254"/>
      <c r="N851" s="254"/>
      <c r="O851" s="254"/>
      <c r="P851" s="105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54"/>
      <c r="J852" s="254"/>
      <c r="K852" s="254"/>
      <c r="L852" s="254"/>
      <c r="M852" s="254"/>
      <c r="N852" s="254"/>
      <c r="O852" s="254"/>
      <c r="P852" s="105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54"/>
      <c r="J853" s="254"/>
      <c r="K853" s="254"/>
      <c r="L853" s="254"/>
      <c r="M853" s="254"/>
      <c r="N853" s="254"/>
      <c r="O853" s="254"/>
      <c r="P853" s="105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54"/>
      <c r="J854" s="254"/>
      <c r="K854" s="254"/>
      <c r="L854" s="254"/>
      <c r="M854" s="254"/>
      <c r="N854" s="254"/>
      <c r="O854" s="254"/>
      <c r="P854" s="105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54"/>
      <c r="J855" s="254"/>
      <c r="K855" s="254"/>
      <c r="L855" s="254"/>
      <c r="M855" s="254"/>
      <c r="N855" s="254"/>
      <c r="O855" s="254"/>
      <c r="P855" s="105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54"/>
      <c r="J856" s="254"/>
      <c r="K856" s="254"/>
      <c r="L856" s="254"/>
      <c r="M856" s="254"/>
      <c r="N856" s="254"/>
      <c r="O856" s="254"/>
      <c r="P856" s="105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54"/>
      <c r="J857" s="254"/>
      <c r="K857" s="254"/>
      <c r="L857" s="254"/>
      <c r="M857" s="254"/>
      <c r="N857" s="254"/>
      <c r="O857" s="254"/>
      <c r="P857" s="105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54"/>
      <c r="J858" s="254"/>
      <c r="K858" s="254"/>
      <c r="L858" s="254"/>
      <c r="M858" s="254"/>
      <c r="N858" s="254"/>
      <c r="O858" s="254"/>
      <c r="P858" s="105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54"/>
      <c r="J859" s="254"/>
      <c r="K859" s="254"/>
      <c r="L859" s="254"/>
      <c r="M859" s="254"/>
      <c r="N859" s="254"/>
      <c r="O859" s="254"/>
      <c r="P859" s="105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54"/>
      <c r="J860" s="254"/>
      <c r="K860" s="254"/>
      <c r="L860" s="254"/>
      <c r="M860" s="254"/>
      <c r="N860" s="254"/>
      <c r="O860" s="254"/>
      <c r="P860" s="105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54"/>
      <c r="J861" s="254"/>
      <c r="K861" s="254"/>
      <c r="L861" s="254"/>
      <c r="M861" s="254"/>
      <c r="N861" s="254"/>
      <c r="O861" s="254"/>
      <c r="P861" s="105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54"/>
      <c r="J862" s="254"/>
      <c r="K862" s="254"/>
      <c r="L862" s="254"/>
      <c r="M862" s="254"/>
      <c r="N862" s="254"/>
      <c r="O862" s="254"/>
      <c r="P862" s="105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54"/>
      <c r="J863" s="254"/>
      <c r="K863" s="254"/>
      <c r="L863" s="254"/>
      <c r="M863" s="254"/>
      <c r="N863" s="254"/>
      <c r="O863" s="254"/>
      <c r="P863" s="105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54"/>
      <c r="J864" s="254"/>
      <c r="K864" s="254"/>
      <c r="L864" s="254"/>
      <c r="M864" s="254"/>
      <c r="N864" s="254"/>
      <c r="O864" s="254"/>
      <c r="P864" s="105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54"/>
      <c r="J865" s="254"/>
      <c r="K865" s="254"/>
      <c r="L865" s="254"/>
      <c r="M865" s="254"/>
      <c r="N865" s="254"/>
      <c r="O865" s="254"/>
      <c r="P865" s="105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54"/>
      <c r="J866" s="254"/>
      <c r="K866" s="254"/>
      <c r="L866" s="254"/>
      <c r="M866" s="254"/>
      <c r="N866" s="254"/>
      <c r="O866" s="254"/>
      <c r="P866" s="105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54"/>
      <c r="J867" s="254"/>
      <c r="K867" s="254"/>
      <c r="L867" s="254"/>
      <c r="M867" s="254"/>
      <c r="N867" s="254"/>
      <c r="O867" s="254"/>
      <c r="P867" s="105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54"/>
      <c r="J868" s="254"/>
      <c r="K868" s="254"/>
      <c r="L868" s="254"/>
      <c r="M868" s="254"/>
      <c r="N868" s="254"/>
      <c r="O868" s="254"/>
      <c r="P868" s="105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54"/>
      <c r="J869" s="254"/>
      <c r="K869" s="254"/>
      <c r="L869" s="254"/>
      <c r="M869" s="254"/>
      <c r="N869" s="254"/>
      <c r="O869" s="254"/>
      <c r="P869" s="105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54"/>
      <c r="J870" s="254"/>
      <c r="K870" s="254"/>
      <c r="L870" s="254"/>
      <c r="M870" s="254"/>
      <c r="N870" s="254"/>
      <c r="O870" s="254"/>
      <c r="P870" s="105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54"/>
      <c r="J871" s="254"/>
      <c r="K871" s="254"/>
      <c r="L871" s="254"/>
      <c r="M871" s="254"/>
      <c r="N871" s="254"/>
      <c r="O871" s="254"/>
      <c r="P871" s="105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54"/>
      <c r="J872" s="254"/>
      <c r="K872" s="254"/>
      <c r="L872" s="254"/>
      <c r="M872" s="254"/>
      <c r="N872" s="254"/>
      <c r="O872" s="254"/>
      <c r="P872" s="105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54"/>
      <c r="J873" s="254"/>
      <c r="K873" s="254"/>
      <c r="L873" s="254"/>
      <c r="M873" s="254"/>
      <c r="N873" s="254"/>
      <c r="O873" s="254"/>
      <c r="P873" s="105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54"/>
      <c r="J874" s="254"/>
      <c r="K874" s="254"/>
      <c r="L874" s="254"/>
      <c r="M874" s="254"/>
      <c r="N874" s="254"/>
      <c r="O874" s="254"/>
      <c r="P874" s="105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54"/>
      <c r="J875" s="254"/>
      <c r="K875" s="254"/>
      <c r="L875" s="254"/>
      <c r="M875" s="254"/>
      <c r="N875" s="254"/>
      <c r="O875" s="254"/>
      <c r="P875" s="105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54"/>
      <c r="J876" s="254"/>
      <c r="K876" s="254"/>
      <c r="L876" s="254"/>
      <c r="M876" s="254"/>
      <c r="N876" s="254"/>
      <c r="O876" s="254"/>
      <c r="P876" s="105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54"/>
      <c r="J877" s="254"/>
      <c r="K877" s="254"/>
      <c r="L877" s="254"/>
      <c r="M877" s="254"/>
      <c r="N877" s="254"/>
      <c r="O877" s="254"/>
      <c r="P877" s="105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54"/>
      <c r="J878" s="254"/>
      <c r="K878" s="254"/>
      <c r="L878" s="254"/>
      <c r="M878" s="254"/>
      <c r="N878" s="254"/>
      <c r="O878" s="254"/>
      <c r="P878" s="105">
        <v>1</v>
      </c>
    </row>
    <row r="879" spans="1:16">
      <c r="A879" s="38">
        <v>512</v>
      </c>
      <c r="B879" s="38" t="s">
        <v>4</v>
      </c>
      <c r="C879" s="14" t="s">
        <v>1808</v>
      </c>
      <c r="D879" s="13"/>
      <c r="E879" s="13"/>
      <c r="F879" s="13"/>
      <c r="G879" s="13">
        <v>1</v>
      </c>
      <c r="H879" s="13"/>
      <c r="I879" s="254"/>
      <c r="J879" s="254"/>
      <c r="K879" s="254"/>
      <c r="L879" s="254"/>
      <c r="M879" s="254"/>
      <c r="N879" s="254"/>
      <c r="O879" s="254"/>
      <c r="P879" s="105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54"/>
      <c r="J880" s="254"/>
      <c r="K880" s="254"/>
      <c r="L880" s="254"/>
      <c r="M880" s="254"/>
      <c r="N880" s="254"/>
      <c r="O880" s="254"/>
      <c r="P880" s="105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54"/>
      <c r="J881" s="254"/>
      <c r="K881" s="254"/>
      <c r="L881" s="254"/>
      <c r="M881" s="254"/>
      <c r="N881" s="254"/>
      <c r="O881" s="254"/>
      <c r="P881" s="105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54"/>
      <c r="J882" s="254"/>
      <c r="K882" s="254"/>
      <c r="L882" s="254"/>
      <c r="M882" s="254"/>
      <c r="N882" s="254"/>
      <c r="O882" s="254"/>
      <c r="P882" s="105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54"/>
      <c r="J883" s="254"/>
      <c r="K883" s="254"/>
      <c r="L883" s="254"/>
      <c r="M883" s="254"/>
      <c r="N883" s="254"/>
      <c r="O883" s="254"/>
      <c r="P883" s="105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54"/>
      <c r="J884" s="254"/>
      <c r="K884" s="254"/>
      <c r="L884" s="254"/>
      <c r="M884" s="254"/>
      <c r="N884" s="254"/>
      <c r="O884" s="254"/>
      <c r="P884" s="105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54"/>
      <c r="J885" s="254"/>
      <c r="K885" s="254"/>
      <c r="L885" s="254"/>
      <c r="M885" s="254"/>
      <c r="N885" s="254"/>
      <c r="O885" s="254"/>
      <c r="P885" s="105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54"/>
      <c r="J886" s="254"/>
      <c r="K886" s="254"/>
      <c r="L886" s="254"/>
      <c r="M886" s="254"/>
      <c r="N886" s="254"/>
      <c r="O886" s="254"/>
      <c r="P886" s="105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54"/>
      <c r="J887" s="254"/>
      <c r="K887" s="254"/>
      <c r="L887" s="254"/>
      <c r="M887" s="254"/>
      <c r="N887" s="254"/>
      <c r="O887" s="254"/>
      <c r="P887" s="105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54"/>
      <c r="J888" s="254"/>
      <c r="K888" s="254"/>
      <c r="L888" s="254"/>
      <c r="M888" s="254"/>
      <c r="N888" s="254"/>
      <c r="O888" s="254"/>
      <c r="P888" s="105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54"/>
      <c r="J889" s="254"/>
      <c r="K889" s="254"/>
      <c r="L889" s="254"/>
      <c r="M889" s="254"/>
      <c r="N889" s="254"/>
      <c r="O889" s="254"/>
      <c r="P889" s="105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54"/>
      <c r="J890" s="254"/>
      <c r="K890" s="254"/>
      <c r="L890" s="254"/>
      <c r="M890" s="254"/>
      <c r="N890" s="254"/>
      <c r="O890" s="254"/>
      <c r="P890" s="105">
        <v>1</v>
      </c>
    </row>
    <row r="891" spans="1:16" ht="75">
      <c r="A891" s="38">
        <v>1</v>
      </c>
      <c r="B891" s="38" t="s">
        <v>3</v>
      </c>
      <c r="C891" s="65" t="s">
        <v>121</v>
      </c>
      <c r="D891" s="103">
        <v>1</v>
      </c>
      <c r="E891" s="103">
        <v>1</v>
      </c>
      <c r="F891" s="103"/>
      <c r="G891" s="103"/>
      <c r="H891" s="104"/>
      <c r="I891" s="104"/>
      <c r="J891" s="104"/>
      <c r="K891" s="104"/>
      <c r="L891" s="104"/>
      <c r="M891" s="104"/>
      <c r="N891" s="104"/>
      <c r="O891" s="104"/>
      <c r="P891" s="105">
        <v>2</v>
      </c>
    </row>
    <row r="892" spans="1:16" ht="30">
      <c r="A892" s="38">
        <v>2</v>
      </c>
      <c r="B892" s="38" t="s">
        <v>3</v>
      </c>
      <c r="C892" s="65" t="s">
        <v>122</v>
      </c>
      <c r="D892" s="103">
        <v>14</v>
      </c>
      <c r="E892" s="103">
        <v>4</v>
      </c>
      <c r="F892" s="103">
        <v>20</v>
      </c>
      <c r="G892" s="103">
        <v>10</v>
      </c>
      <c r="H892" s="104">
        <v>6</v>
      </c>
      <c r="I892" s="104"/>
      <c r="J892" s="104"/>
      <c r="K892" s="104"/>
      <c r="L892" s="104"/>
      <c r="M892" s="104"/>
      <c r="N892" s="104"/>
      <c r="O892" s="104"/>
      <c r="P892" s="105">
        <v>54</v>
      </c>
    </row>
    <row r="893" spans="1:16" ht="45">
      <c r="A893" s="38">
        <v>3</v>
      </c>
      <c r="B893" s="38" t="s">
        <v>3</v>
      </c>
      <c r="C893" s="65" t="s">
        <v>123</v>
      </c>
      <c r="D893" s="103">
        <v>9</v>
      </c>
      <c r="E893" s="103">
        <v>4</v>
      </c>
      <c r="F893" s="103">
        <v>11</v>
      </c>
      <c r="G893" s="103">
        <v>13</v>
      </c>
      <c r="H893" s="104">
        <v>9</v>
      </c>
      <c r="I893" s="104"/>
      <c r="J893" s="104"/>
      <c r="K893" s="104"/>
      <c r="L893" s="104"/>
      <c r="M893" s="104"/>
      <c r="N893" s="104"/>
      <c r="O893" s="104"/>
      <c r="P893" s="105">
        <v>46</v>
      </c>
    </row>
    <row r="894" spans="1:16" ht="30">
      <c r="A894" s="38">
        <v>4</v>
      </c>
      <c r="B894" s="38" t="s">
        <v>3</v>
      </c>
      <c r="C894" s="65" t="s">
        <v>124</v>
      </c>
      <c r="D894" s="103">
        <v>6</v>
      </c>
      <c r="E894" s="103">
        <v>5</v>
      </c>
      <c r="F894" s="103">
        <v>8</v>
      </c>
      <c r="G894" s="103">
        <v>5</v>
      </c>
      <c r="H894" s="104">
        <v>4</v>
      </c>
      <c r="I894" s="104"/>
      <c r="J894" s="104"/>
      <c r="K894" s="104"/>
      <c r="L894" s="104"/>
      <c r="M894" s="104"/>
      <c r="N894" s="104"/>
      <c r="O894" s="104"/>
      <c r="P894" s="105">
        <v>28</v>
      </c>
    </row>
    <row r="895" spans="1:16" ht="45">
      <c r="A895" s="38">
        <v>5</v>
      </c>
      <c r="B895" s="38" t="s">
        <v>3</v>
      </c>
      <c r="C895" s="65" t="s">
        <v>125</v>
      </c>
      <c r="D895" s="103">
        <v>12</v>
      </c>
      <c r="E895" s="103">
        <v>10</v>
      </c>
      <c r="F895" s="103">
        <v>12</v>
      </c>
      <c r="G895" s="103">
        <v>7</v>
      </c>
      <c r="H895" s="104">
        <v>12</v>
      </c>
      <c r="I895" s="104"/>
      <c r="J895" s="104"/>
      <c r="K895" s="104"/>
      <c r="L895" s="104"/>
      <c r="M895" s="104"/>
      <c r="N895" s="104"/>
      <c r="O895" s="104"/>
      <c r="P895" s="105">
        <v>53</v>
      </c>
    </row>
    <row r="896" spans="1:16" ht="60">
      <c r="A896" s="38">
        <v>6</v>
      </c>
      <c r="B896" s="38" t="s">
        <v>3</v>
      </c>
      <c r="C896" s="65" t="s">
        <v>127</v>
      </c>
      <c r="D896" s="103">
        <v>11</v>
      </c>
      <c r="E896" s="103">
        <v>4</v>
      </c>
      <c r="F896" s="103">
        <v>9</v>
      </c>
      <c r="G896" s="103">
        <v>7</v>
      </c>
      <c r="H896" s="104">
        <v>9</v>
      </c>
      <c r="I896" s="104"/>
      <c r="J896" s="104"/>
      <c r="K896" s="104"/>
      <c r="L896" s="104"/>
      <c r="M896" s="104"/>
      <c r="N896" s="104"/>
      <c r="O896" s="104"/>
      <c r="P896" s="105">
        <v>40</v>
      </c>
    </row>
    <row r="897" spans="1:16" ht="45">
      <c r="A897" s="38">
        <v>7</v>
      </c>
      <c r="B897" s="38" t="s">
        <v>3</v>
      </c>
      <c r="C897" s="65" t="s">
        <v>128</v>
      </c>
      <c r="D897" s="103">
        <v>1</v>
      </c>
      <c r="E897" s="103">
        <v>1</v>
      </c>
      <c r="F897" s="103">
        <v>1</v>
      </c>
      <c r="G897" s="103">
        <v>1</v>
      </c>
      <c r="H897" s="104"/>
      <c r="I897" s="104"/>
      <c r="J897" s="104"/>
      <c r="K897" s="104"/>
      <c r="L897" s="104"/>
      <c r="M897" s="104"/>
      <c r="N897" s="104"/>
      <c r="O897" s="104"/>
      <c r="P897" s="105">
        <v>4</v>
      </c>
    </row>
    <row r="898" spans="1:16" ht="90">
      <c r="A898" s="38">
        <v>8</v>
      </c>
      <c r="B898" s="38" t="s">
        <v>3</v>
      </c>
      <c r="C898" s="65" t="s">
        <v>129</v>
      </c>
      <c r="D898" s="103">
        <v>1</v>
      </c>
      <c r="E898" s="103">
        <v>1</v>
      </c>
      <c r="F898" s="103">
        <v>1</v>
      </c>
      <c r="G898" s="103">
        <v>1</v>
      </c>
      <c r="H898" s="104"/>
      <c r="I898" s="104"/>
      <c r="J898" s="104"/>
      <c r="K898" s="104"/>
      <c r="L898" s="104"/>
      <c r="M898" s="104"/>
      <c r="N898" s="104"/>
      <c r="O898" s="104"/>
      <c r="P898" s="105">
        <v>4</v>
      </c>
    </row>
    <row r="899" spans="1:16" ht="75">
      <c r="A899" s="38">
        <v>9</v>
      </c>
      <c r="B899" s="38" t="s">
        <v>3</v>
      </c>
      <c r="C899" s="65" t="s">
        <v>130</v>
      </c>
      <c r="D899" s="103">
        <v>107</v>
      </c>
      <c r="E899" s="103">
        <v>165</v>
      </c>
      <c r="F899" s="103">
        <v>131</v>
      </c>
      <c r="G899" s="103">
        <v>139</v>
      </c>
      <c r="H899" s="104">
        <v>135</v>
      </c>
      <c r="I899" s="104"/>
      <c r="J899" s="104"/>
      <c r="K899" s="104"/>
      <c r="L899" s="104"/>
      <c r="M899" s="104"/>
      <c r="N899" s="104"/>
      <c r="O899" s="104"/>
      <c r="P899" s="105">
        <v>677</v>
      </c>
    </row>
    <row r="900" spans="1:16" ht="45">
      <c r="A900" s="38">
        <v>10</v>
      </c>
      <c r="B900" s="38" t="s">
        <v>3</v>
      </c>
      <c r="C900" s="65" t="s">
        <v>131</v>
      </c>
      <c r="D900" s="103">
        <v>39</v>
      </c>
      <c r="E900" s="103">
        <v>64</v>
      </c>
      <c r="F900" s="103">
        <v>48</v>
      </c>
      <c r="G900" s="103">
        <v>51</v>
      </c>
      <c r="H900" s="104">
        <v>38</v>
      </c>
      <c r="I900" s="104"/>
      <c r="J900" s="104"/>
      <c r="K900" s="104"/>
      <c r="L900" s="104"/>
      <c r="M900" s="104"/>
      <c r="N900" s="104"/>
      <c r="O900" s="104"/>
      <c r="P900" s="105">
        <v>240</v>
      </c>
    </row>
    <row r="901" spans="1:16" ht="30">
      <c r="A901" s="38">
        <v>11</v>
      </c>
      <c r="B901" s="38" t="s">
        <v>3</v>
      </c>
      <c r="C901" s="65" t="s">
        <v>132</v>
      </c>
      <c r="D901" s="103">
        <v>10</v>
      </c>
      <c r="E901" s="103">
        <v>8</v>
      </c>
      <c r="F901" s="103">
        <v>8</v>
      </c>
      <c r="G901" s="103">
        <v>6</v>
      </c>
      <c r="H901" s="104">
        <v>6</v>
      </c>
      <c r="I901" s="104"/>
      <c r="J901" s="104"/>
      <c r="K901" s="104"/>
      <c r="L901" s="104"/>
      <c r="M901" s="104"/>
      <c r="N901" s="104"/>
      <c r="O901" s="104"/>
      <c r="P901" s="105">
        <v>38</v>
      </c>
    </row>
    <row r="902" spans="1:16" ht="60">
      <c r="A902" s="38">
        <v>12</v>
      </c>
      <c r="B902" s="38" t="s">
        <v>3</v>
      </c>
      <c r="C902" s="65" t="s">
        <v>134</v>
      </c>
      <c r="D902" s="103">
        <v>15</v>
      </c>
      <c r="E902" s="103">
        <v>12</v>
      </c>
      <c r="F902" s="103">
        <v>13</v>
      </c>
      <c r="G902" s="103">
        <v>8</v>
      </c>
      <c r="H902" s="104">
        <v>2</v>
      </c>
      <c r="I902" s="104"/>
      <c r="J902" s="104"/>
      <c r="K902" s="104"/>
      <c r="L902" s="104"/>
      <c r="M902" s="104"/>
      <c r="N902" s="104"/>
      <c r="O902" s="104"/>
      <c r="P902" s="105">
        <v>50</v>
      </c>
    </row>
    <row r="903" spans="1:16" ht="60">
      <c r="A903" s="38">
        <v>13</v>
      </c>
      <c r="B903" s="38" t="s">
        <v>3</v>
      </c>
      <c r="C903" s="65" t="s">
        <v>135</v>
      </c>
      <c r="D903" s="103">
        <v>2</v>
      </c>
      <c r="E903" s="103">
        <v>7</v>
      </c>
      <c r="F903" s="103">
        <v>2</v>
      </c>
      <c r="G903" s="103">
        <v>1</v>
      </c>
      <c r="H903" s="104">
        <v>2</v>
      </c>
      <c r="I903" s="104"/>
      <c r="J903" s="104"/>
      <c r="K903" s="104"/>
      <c r="L903" s="104"/>
      <c r="M903" s="104"/>
      <c r="N903" s="104"/>
      <c r="O903" s="104"/>
      <c r="P903" s="105">
        <v>14</v>
      </c>
    </row>
    <row r="904" spans="1:16" ht="60">
      <c r="A904" s="38">
        <v>14</v>
      </c>
      <c r="B904" s="38" t="s">
        <v>3</v>
      </c>
      <c r="C904" s="65" t="s">
        <v>136</v>
      </c>
      <c r="D904" s="103">
        <v>1</v>
      </c>
      <c r="E904" s="103">
        <v>1</v>
      </c>
      <c r="F904" s="103"/>
      <c r="G904" s="103"/>
      <c r="H904" s="104">
        <v>1</v>
      </c>
      <c r="I904" s="104"/>
      <c r="J904" s="104"/>
      <c r="K904" s="104"/>
      <c r="L904" s="104"/>
      <c r="M904" s="104"/>
      <c r="N904" s="104"/>
      <c r="O904" s="104"/>
      <c r="P904" s="105">
        <v>3</v>
      </c>
    </row>
    <row r="905" spans="1:16" ht="90">
      <c r="A905" s="38">
        <v>15</v>
      </c>
      <c r="B905" s="38" t="s">
        <v>3</v>
      </c>
      <c r="C905" s="65" t="s">
        <v>137</v>
      </c>
      <c r="D905" s="103">
        <v>10</v>
      </c>
      <c r="E905" s="103">
        <v>8</v>
      </c>
      <c r="F905" s="103">
        <v>42</v>
      </c>
      <c r="G905" s="103">
        <v>21</v>
      </c>
      <c r="H905" s="104">
        <v>11</v>
      </c>
      <c r="I905" s="104"/>
      <c r="J905" s="104"/>
      <c r="K905" s="104"/>
      <c r="L905" s="104"/>
      <c r="M905" s="104"/>
      <c r="N905" s="104"/>
      <c r="O905" s="104"/>
      <c r="P905" s="105">
        <v>92</v>
      </c>
    </row>
    <row r="906" spans="1:16" ht="30">
      <c r="A906" s="38">
        <v>16</v>
      </c>
      <c r="B906" s="38" t="s">
        <v>3</v>
      </c>
      <c r="C906" s="65" t="s">
        <v>139</v>
      </c>
      <c r="D906" s="103">
        <v>25</v>
      </c>
      <c r="E906" s="103">
        <v>28</v>
      </c>
      <c r="F906" s="103">
        <v>46</v>
      </c>
      <c r="G906" s="103">
        <v>10</v>
      </c>
      <c r="H906" s="104">
        <v>36</v>
      </c>
      <c r="I906" s="104"/>
      <c r="J906" s="104"/>
      <c r="K906" s="104"/>
      <c r="L906" s="104"/>
      <c r="M906" s="104"/>
      <c r="N906" s="104"/>
      <c r="O906" s="104"/>
      <c r="P906" s="105">
        <v>145</v>
      </c>
    </row>
    <row r="907" spans="1:16" ht="45">
      <c r="A907" s="38">
        <v>17</v>
      </c>
      <c r="B907" s="38" t="s">
        <v>3</v>
      </c>
      <c r="C907" s="65" t="s">
        <v>142</v>
      </c>
      <c r="D907" s="103">
        <v>48</v>
      </c>
      <c r="E907" s="103">
        <v>41</v>
      </c>
      <c r="F907" s="103">
        <v>48</v>
      </c>
      <c r="G907" s="103">
        <v>46</v>
      </c>
      <c r="H907" s="104">
        <v>43</v>
      </c>
      <c r="I907" s="104"/>
      <c r="J907" s="104"/>
      <c r="K907" s="104"/>
      <c r="L907" s="104"/>
      <c r="M907" s="104"/>
      <c r="N907" s="104"/>
      <c r="O907" s="104"/>
      <c r="P907" s="105">
        <v>226</v>
      </c>
    </row>
    <row r="908" spans="1:16" ht="60">
      <c r="A908" s="38">
        <v>18</v>
      </c>
      <c r="B908" s="38" t="s">
        <v>3</v>
      </c>
      <c r="C908" s="65" t="s">
        <v>144</v>
      </c>
      <c r="D908" s="103">
        <v>8</v>
      </c>
      <c r="E908" s="103">
        <v>2</v>
      </c>
      <c r="F908" s="103">
        <v>6</v>
      </c>
      <c r="G908" s="103">
        <v>9</v>
      </c>
      <c r="H908" s="104">
        <v>6</v>
      </c>
      <c r="I908" s="104"/>
      <c r="J908" s="104"/>
      <c r="K908" s="104"/>
      <c r="L908" s="104"/>
      <c r="M908" s="104"/>
      <c r="N908" s="104"/>
      <c r="O908" s="104"/>
      <c r="P908" s="105">
        <v>31</v>
      </c>
    </row>
    <row r="909" spans="1:16" ht="75">
      <c r="A909" s="38">
        <v>19</v>
      </c>
      <c r="B909" s="38" t="s">
        <v>3</v>
      </c>
      <c r="C909" s="65" t="s">
        <v>1621</v>
      </c>
      <c r="D909" s="103"/>
      <c r="E909" s="103"/>
      <c r="F909" s="103"/>
      <c r="G909" s="103">
        <v>1</v>
      </c>
      <c r="H909" s="104"/>
      <c r="I909" s="104"/>
      <c r="J909" s="104"/>
      <c r="K909" s="104"/>
      <c r="L909" s="104"/>
      <c r="M909" s="104"/>
      <c r="N909" s="104"/>
      <c r="O909" s="104"/>
      <c r="P909" s="105">
        <v>1</v>
      </c>
    </row>
    <row r="910" spans="1:16" ht="75">
      <c r="A910" s="38">
        <v>20</v>
      </c>
      <c r="B910" s="38" t="s">
        <v>3</v>
      </c>
      <c r="C910" s="65" t="s">
        <v>146</v>
      </c>
      <c r="D910" s="103">
        <v>3</v>
      </c>
      <c r="E910" s="103">
        <v>10</v>
      </c>
      <c r="F910" s="103">
        <v>7</v>
      </c>
      <c r="G910" s="103">
        <v>9</v>
      </c>
      <c r="H910" s="104">
        <v>16</v>
      </c>
      <c r="I910" s="104"/>
      <c r="J910" s="104"/>
      <c r="K910" s="104"/>
      <c r="L910" s="104"/>
      <c r="M910" s="104"/>
      <c r="N910" s="104"/>
      <c r="O910" s="104"/>
      <c r="P910" s="105">
        <v>45</v>
      </c>
    </row>
    <row r="911" spans="1:16" ht="60">
      <c r="A911" s="38">
        <v>21</v>
      </c>
      <c r="B911" s="38" t="s">
        <v>3</v>
      </c>
      <c r="C911" s="65" t="s">
        <v>148</v>
      </c>
      <c r="D911" s="103">
        <v>10</v>
      </c>
      <c r="E911" s="103">
        <v>16</v>
      </c>
      <c r="F911" s="103">
        <v>13</v>
      </c>
      <c r="G911" s="103">
        <v>15</v>
      </c>
      <c r="H911" s="104">
        <v>14</v>
      </c>
      <c r="I911" s="104"/>
      <c r="J911" s="104"/>
      <c r="K911" s="104"/>
      <c r="L911" s="104"/>
      <c r="M911" s="104"/>
      <c r="N911" s="104"/>
      <c r="O911" s="104"/>
      <c r="P911" s="105">
        <v>68</v>
      </c>
    </row>
    <row r="912" spans="1:16" ht="75">
      <c r="A912" s="38">
        <v>22</v>
      </c>
      <c r="B912" s="38" t="s">
        <v>3</v>
      </c>
      <c r="C912" s="65" t="s">
        <v>149</v>
      </c>
      <c r="D912" s="103">
        <v>66</v>
      </c>
      <c r="E912" s="103">
        <v>61</v>
      </c>
      <c r="F912" s="103">
        <v>57</v>
      </c>
      <c r="G912" s="103">
        <v>67</v>
      </c>
      <c r="H912" s="104">
        <v>78</v>
      </c>
      <c r="I912" s="104"/>
      <c r="J912" s="104"/>
      <c r="K912" s="104"/>
      <c r="L912" s="104"/>
      <c r="M912" s="104"/>
      <c r="N912" s="104"/>
      <c r="O912" s="104"/>
      <c r="P912" s="105">
        <v>329</v>
      </c>
    </row>
    <row r="913" spans="1:16" ht="60">
      <c r="A913" s="38">
        <v>23</v>
      </c>
      <c r="B913" s="38" t="s">
        <v>3</v>
      </c>
      <c r="C913" s="65" t="s">
        <v>150</v>
      </c>
      <c r="D913" s="103">
        <v>168</v>
      </c>
      <c r="E913" s="103">
        <v>159</v>
      </c>
      <c r="F913" s="103">
        <v>170</v>
      </c>
      <c r="G913" s="103">
        <v>176</v>
      </c>
      <c r="H913" s="104">
        <v>206</v>
      </c>
      <c r="I913" s="104"/>
      <c r="J913" s="104"/>
      <c r="K913" s="104"/>
      <c r="L913" s="104"/>
      <c r="M913" s="104"/>
      <c r="N913" s="104"/>
      <c r="O913" s="104"/>
      <c r="P913" s="105">
        <v>879</v>
      </c>
    </row>
    <row r="914" spans="1:16" ht="45">
      <c r="A914" s="38">
        <v>24</v>
      </c>
      <c r="B914" s="38" t="s">
        <v>3</v>
      </c>
      <c r="C914" s="65" t="s">
        <v>151</v>
      </c>
      <c r="D914" s="103">
        <v>5</v>
      </c>
      <c r="E914" s="103">
        <v>4</v>
      </c>
      <c r="F914" s="103">
        <v>5</v>
      </c>
      <c r="G914" s="103">
        <v>2</v>
      </c>
      <c r="H914" s="104">
        <v>6</v>
      </c>
      <c r="I914" s="104"/>
      <c r="J914" s="104"/>
      <c r="K914" s="104"/>
      <c r="L914" s="104"/>
      <c r="M914" s="104"/>
      <c r="N914" s="104"/>
      <c r="O914" s="104"/>
      <c r="P914" s="105">
        <v>22</v>
      </c>
    </row>
    <row r="915" spans="1:16" ht="45">
      <c r="A915" s="38">
        <v>25</v>
      </c>
      <c r="B915" s="38" t="s">
        <v>3</v>
      </c>
      <c r="C915" s="65" t="s">
        <v>152</v>
      </c>
      <c r="D915" s="103">
        <v>21</v>
      </c>
      <c r="E915" s="103">
        <v>9</v>
      </c>
      <c r="F915" s="103">
        <v>15</v>
      </c>
      <c r="G915" s="103">
        <v>16</v>
      </c>
      <c r="H915" s="104">
        <v>18</v>
      </c>
      <c r="I915" s="104"/>
      <c r="J915" s="104"/>
      <c r="K915" s="104"/>
      <c r="L915" s="104"/>
      <c r="M915" s="104"/>
      <c r="N915" s="104"/>
      <c r="O915" s="104"/>
      <c r="P915" s="105">
        <v>79</v>
      </c>
    </row>
    <row r="916" spans="1:16" ht="45">
      <c r="A916" s="38">
        <v>26</v>
      </c>
      <c r="B916" s="38" t="s">
        <v>3</v>
      </c>
      <c r="C916" s="65" t="s">
        <v>153</v>
      </c>
      <c r="D916" s="103">
        <v>1</v>
      </c>
      <c r="E916" s="103">
        <v>1</v>
      </c>
      <c r="F916" s="103">
        <v>1</v>
      </c>
      <c r="G916" s="103">
        <v>1</v>
      </c>
      <c r="H916" s="104">
        <v>1</v>
      </c>
      <c r="I916" s="104"/>
      <c r="J916" s="104"/>
      <c r="K916" s="104"/>
      <c r="L916" s="104"/>
      <c r="M916" s="104"/>
      <c r="N916" s="104"/>
      <c r="O916" s="104"/>
      <c r="P916" s="105">
        <v>5</v>
      </c>
    </row>
    <row r="917" spans="1:16" ht="90">
      <c r="A917" s="38">
        <v>27</v>
      </c>
      <c r="B917" s="38" t="s">
        <v>3</v>
      </c>
      <c r="C917" s="65" t="s">
        <v>154</v>
      </c>
      <c r="D917" s="103">
        <v>2</v>
      </c>
      <c r="E917" s="103">
        <v>2</v>
      </c>
      <c r="F917" s="103"/>
      <c r="G917" s="103"/>
      <c r="H917" s="104">
        <v>2</v>
      </c>
      <c r="I917" s="104"/>
      <c r="J917" s="104"/>
      <c r="K917" s="104"/>
      <c r="L917" s="104"/>
      <c r="M917" s="104"/>
      <c r="N917" s="104"/>
      <c r="O917" s="104"/>
      <c r="P917" s="105">
        <v>6</v>
      </c>
    </row>
    <row r="918" spans="1:16" ht="60">
      <c r="A918" s="38">
        <v>28</v>
      </c>
      <c r="B918" s="38" t="s">
        <v>3</v>
      </c>
      <c r="C918" s="65" t="s">
        <v>155</v>
      </c>
      <c r="D918" s="103">
        <v>17</v>
      </c>
      <c r="E918" s="103">
        <v>19</v>
      </c>
      <c r="F918" s="103">
        <v>22</v>
      </c>
      <c r="G918" s="103">
        <v>22</v>
      </c>
      <c r="H918" s="104">
        <v>23</v>
      </c>
      <c r="I918" s="104"/>
      <c r="J918" s="104"/>
      <c r="K918" s="104"/>
      <c r="L918" s="104"/>
      <c r="M918" s="104"/>
      <c r="N918" s="104"/>
      <c r="O918" s="104"/>
      <c r="P918" s="105">
        <v>103</v>
      </c>
    </row>
    <row r="919" spans="1:16" ht="45">
      <c r="A919" s="38">
        <v>29</v>
      </c>
      <c r="B919" s="38" t="s">
        <v>3</v>
      </c>
      <c r="C919" s="65" t="s">
        <v>156</v>
      </c>
      <c r="D919" s="103">
        <v>125</v>
      </c>
      <c r="E919" s="103">
        <v>137</v>
      </c>
      <c r="F919" s="103">
        <v>148</v>
      </c>
      <c r="G919" s="103">
        <v>131</v>
      </c>
      <c r="H919" s="104">
        <v>106</v>
      </c>
      <c r="I919" s="104"/>
      <c r="J919" s="104"/>
      <c r="K919" s="104"/>
      <c r="L919" s="104"/>
      <c r="M919" s="104"/>
      <c r="N919" s="104"/>
      <c r="O919" s="104"/>
      <c r="P919" s="105">
        <v>647</v>
      </c>
    </row>
    <row r="920" spans="1:16" ht="75">
      <c r="A920" s="38">
        <v>30</v>
      </c>
      <c r="B920" s="38" t="s">
        <v>3</v>
      </c>
      <c r="C920" s="65" t="s">
        <v>157</v>
      </c>
      <c r="D920" s="103"/>
      <c r="E920" s="103">
        <v>2</v>
      </c>
      <c r="F920" s="103">
        <v>2</v>
      </c>
      <c r="G920" s="103">
        <v>3</v>
      </c>
      <c r="H920" s="104">
        <v>0</v>
      </c>
      <c r="I920" s="104"/>
      <c r="J920" s="104"/>
      <c r="K920" s="104"/>
      <c r="L920" s="104"/>
      <c r="M920" s="104"/>
      <c r="N920" s="104"/>
      <c r="O920" s="104"/>
      <c r="P920" s="105">
        <v>7</v>
      </c>
    </row>
    <row r="921" spans="1:16" ht="75">
      <c r="A921" s="38">
        <v>31</v>
      </c>
      <c r="B921" s="38" t="s">
        <v>3</v>
      </c>
      <c r="C921" s="65" t="s">
        <v>158</v>
      </c>
      <c r="D921" s="103"/>
      <c r="E921" s="103">
        <v>2</v>
      </c>
      <c r="F921" s="103">
        <v>3</v>
      </c>
      <c r="G921" s="103">
        <v>1</v>
      </c>
      <c r="H921" s="104">
        <v>0</v>
      </c>
      <c r="I921" s="104"/>
      <c r="J921" s="104"/>
      <c r="K921" s="104"/>
      <c r="L921" s="104"/>
      <c r="M921" s="104"/>
      <c r="N921" s="104"/>
      <c r="O921" s="104"/>
      <c r="P921" s="105">
        <v>6</v>
      </c>
    </row>
    <row r="922" spans="1:16" ht="45">
      <c r="A922" s="38">
        <v>32</v>
      </c>
      <c r="B922" s="38" t="s">
        <v>3</v>
      </c>
      <c r="C922" s="65" t="s">
        <v>159</v>
      </c>
      <c r="D922" s="103">
        <v>121</v>
      </c>
      <c r="E922" s="103">
        <v>94</v>
      </c>
      <c r="F922" s="103">
        <v>108</v>
      </c>
      <c r="G922" s="103">
        <v>124</v>
      </c>
      <c r="H922" s="104">
        <v>115</v>
      </c>
      <c r="I922" s="104"/>
      <c r="J922" s="104"/>
      <c r="K922" s="104"/>
      <c r="L922" s="104"/>
      <c r="M922" s="104"/>
      <c r="N922" s="104"/>
      <c r="O922" s="104"/>
      <c r="P922" s="105">
        <v>562</v>
      </c>
    </row>
    <row r="923" spans="1:16" ht="30">
      <c r="A923" s="38">
        <v>33</v>
      </c>
      <c r="B923" s="38" t="s">
        <v>3</v>
      </c>
      <c r="C923" s="65" t="s">
        <v>160</v>
      </c>
      <c r="D923" s="103">
        <v>3</v>
      </c>
      <c r="E923" s="103">
        <v>2</v>
      </c>
      <c r="F923" s="103">
        <v>4</v>
      </c>
      <c r="G923" s="103">
        <v>3</v>
      </c>
      <c r="H923" s="104">
        <v>3</v>
      </c>
      <c r="I923" s="104"/>
      <c r="J923" s="104"/>
      <c r="K923" s="104"/>
      <c r="L923" s="104"/>
      <c r="M923" s="104"/>
      <c r="N923" s="104"/>
      <c r="O923" s="104"/>
      <c r="P923" s="105">
        <v>15</v>
      </c>
    </row>
    <row r="924" spans="1:16">
      <c r="A924" s="38">
        <v>34</v>
      </c>
      <c r="B924" s="38" t="s">
        <v>3</v>
      </c>
      <c r="C924" s="65" t="s">
        <v>161</v>
      </c>
      <c r="D924" s="103">
        <v>14</v>
      </c>
      <c r="E924" s="103">
        <v>9</v>
      </c>
      <c r="F924" s="103">
        <v>11</v>
      </c>
      <c r="G924" s="103">
        <v>10</v>
      </c>
      <c r="H924" s="104">
        <v>8</v>
      </c>
      <c r="I924" s="104"/>
      <c r="J924" s="104"/>
      <c r="K924" s="104"/>
      <c r="L924" s="104"/>
      <c r="M924" s="104"/>
      <c r="N924" s="104"/>
      <c r="O924" s="104"/>
      <c r="P924" s="105">
        <v>52</v>
      </c>
    </row>
    <row r="925" spans="1:16" ht="30">
      <c r="A925" s="38">
        <v>35</v>
      </c>
      <c r="B925" s="38" t="s">
        <v>3</v>
      </c>
      <c r="C925" s="65" t="s">
        <v>163</v>
      </c>
      <c r="D925" s="103">
        <v>2</v>
      </c>
      <c r="E925" s="103"/>
      <c r="F925" s="103"/>
      <c r="G925" s="103">
        <v>1</v>
      </c>
      <c r="H925" s="104">
        <v>1</v>
      </c>
      <c r="I925" s="104"/>
      <c r="J925" s="104"/>
      <c r="K925" s="104"/>
      <c r="L925" s="104"/>
      <c r="M925" s="104"/>
      <c r="N925" s="104"/>
      <c r="O925" s="104"/>
      <c r="P925" s="105">
        <v>4</v>
      </c>
    </row>
    <row r="926" spans="1:16" ht="45">
      <c r="A926" s="38">
        <v>36</v>
      </c>
      <c r="B926" s="38" t="s">
        <v>3</v>
      </c>
      <c r="C926" s="65" t="s">
        <v>164</v>
      </c>
      <c r="D926" s="103">
        <v>5</v>
      </c>
      <c r="E926" s="103">
        <v>2</v>
      </c>
      <c r="F926" s="103"/>
      <c r="G926" s="103"/>
      <c r="H926" s="104"/>
      <c r="I926" s="104"/>
      <c r="J926" s="104"/>
      <c r="K926" s="104"/>
      <c r="L926" s="104"/>
      <c r="M926" s="104"/>
      <c r="N926" s="104"/>
      <c r="O926" s="104"/>
      <c r="P926" s="105">
        <v>7</v>
      </c>
    </row>
    <row r="927" spans="1:16" ht="45">
      <c r="A927" s="38">
        <v>37</v>
      </c>
      <c r="B927" s="38" t="s">
        <v>3</v>
      </c>
      <c r="C927" s="65" t="s">
        <v>166</v>
      </c>
      <c r="D927" s="103">
        <v>5</v>
      </c>
      <c r="E927" s="103">
        <v>4</v>
      </c>
      <c r="F927" s="103">
        <v>8</v>
      </c>
      <c r="G927" s="103">
        <v>4</v>
      </c>
      <c r="H927" s="104">
        <v>4</v>
      </c>
      <c r="I927" s="104"/>
      <c r="J927" s="104"/>
      <c r="K927" s="104"/>
      <c r="L927" s="104"/>
      <c r="M927" s="104"/>
      <c r="N927" s="104"/>
      <c r="O927" s="104"/>
      <c r="P927" s="105">
        <v>25</v>
      </c>
    </row>
    <row r="928" spans="1:16" ht="75">
      <c r="A928" s="38">
        <v>38</v>
      </c>
      <c r="B928" s="38" t="s">
        <v>3</v>
      </c>
      <c r="C928" s="65" t="s">
        <v>167</v>
      </c>
      <c r="D928" s="103">
        <v>11</v>
      </c>
      <c r="E928" s="103">
        <v>9</v>
      </c>
      <c r="F928" s="103">
        <v>10</v>
      </c>
      <c r="G928" s="103">
        <v>4</v>
      </c>
      <c r="H928" s="104">
        <v>9</v>
      </c>
      <c r="I928" s="104"/>
      <c r="J928" s="104"/>
      <c r="K928" s="104"/>
      <c r="L928" s="104"/>
      <c r="M928" s="104"/>
      <c r="N928" s="104"/>
      <c r="O928" s="104"/>
      <c r="P928" s="105">
        <v>43</v>
      </c>
    </row>
    <row r="929" spans="1:16" ht="105">
      <c r="A929" s="38">
        <v>39</v>
      </c>
      <c r="B929" s="38" t="s">
        <v>3</v>
      </c>
      <c r="C929" s="65" t="s">
        <v>1622</v>
      </c>
      <c r="D929" s="103"/>
      <c r="E929" s="103"/>
      <c r="F929" s="103"/>
      <c r="G929" s="103">
        <v>2</v>
      </c>
      <c r="H929" s="104"/>
      <c r="I929" s="104"/>
      <c r="J929" s="104"/>
      <c r="K929" s="104"/>
      <c r="L929" s="104"/>
      <c r="M929" s="104"/>
      <c r="N929" s="104"/>
      <c r="O929" s="104"/>
      <c r="P929" s="105">
        <v>2</v>
      </c>
    </row>
    <row r="930" spans="1:16" ht="45">
      <c r="A930" s="38">
        <v>40</v>
      </c>
      <c r="B930" s="38" t="s">
        <v>3</v>
      </c>
      <c r="C930" s="65" t="s">
        <v>169</v>
      </c>
      <c r="D930" s="103">
        <v>19</v>
      </c>
      <c r="E930" s="103">
        <v>22</v>
      </c>
      <c r="F930" s="103">
        <v>22</v>
      </c>
      <c r="G930" s="103">
        <v>25</v>
      </c>
      <c r="H930" s="104">
        <v>22</v>
      </c>
      <c r="I930" s="104"/>
      <c r="J930" s="104"/>
      <c r="K930" s="104"/>
      <c r="L930" s="104"/>
      <c r="M930" s="104"/>
      <c r="N930" s="104"/>
      <c r="O930" s="104"/>
      <c r="P930" s="105">
        <v>110</v>
      </c>
    </row>
    <row r="931" spans="1:16" ht="30">
      <c r="A931" s="38">
        <v>41</v>
      </c>
      <c r="B931" s="38" t="s">
        <v>3</v>
      </c>
      <c r="C931" s="65" t="s">
        <v>170</v>
      </c>
      <c r="D931" s="103">
        <v>17</v>
      </c>
      <c r="E931" s="103">
        <v>12</v>
      </c>
      <c r="F931" s="103">
        <v>12</v>
      </c>
      <c r="G931" s="103">
        <v>17</v>
      </c>
      <c r="H931" s="104">
        <v>14</v>
      </c>
      <c r="I931" s="104"/>
      <c r="J931" s="104"/>
      <c r="K931" s="104"/>
      <c r="L931" s="104"/>
      <c r="M931" s="104"/>
      <c r="N931" s="104"/>
      <c r="O931" s="104"/>
      <c r="P931" s="105">
        <v>72</v>
      </c>
    </row>
    <row r="932" spans="1:16" ht="45">
      <c r="A932" s="38">
        <v>42</v>
      </c>
      <c r="B932" s="38" t="s">
        <v>3</v>
      </c>
      <c r="C932" s="65" t="s">
        <v>172</v>
      </c>
      <c r="D932" s="103">
        <v>6</v>
      </c>
      <c r="E932" s="103">
        <v>4</v>
      </c>
      <c r="F932" s="103">
        <v>9</v>
      </c>
      <c r="G932" s="103">
        <v>4</v>
      </c>
      <c r="H932" s="104">
        <v>4</v>
      </c>
      <c r="I932" s="104"/>
      <c r="J932" s="104"/>
      <c r="K932" s="104"/>
      <c r="L932" s="104"/>
      <c r="M932" s="104"/>
      <c r="N932" s="104"/>
      <c r="O932" s="104"/>
      <c r="P932" s="105">
        <v>27</v>
      </c>
    </row>
    <row r="933" spans="1:16" ht="45">
      <c r="A933" s="38">
        <v>43</v>
      </c>
      <c r="B933" s="38" t="s">
        <v>3</v>
      </c>
      <c r="C933" s="65" t="s">
        <v>1623</v>
      </c>
      <c r="D933" s="103"/>
      <c r="E933" s="103"/>
      <c r="F933" s="103"/>
      <c r="G933" s="103">
        <v>1</v>
      </c>
      <c r="H933" s="104"/>
      <c r="I933" s="104"/>
      <c r="J933" s="104"/>
      <c r="K933" s="104"/>
      <c r="L933" s="104"/>
      <c r="M933" s="104"/>
      <c r="N933" s="104"/>
      <c r="O933" s="104"/>
      <c r="P933" s="105">
        <v>1</v>
      </c>
    </row>
    <row r="934" spans="1:16" ht="45">
      <c r="A934" s="38">
        <v>44</v>
      </c>
      <c r="B934" s="38" t="s">
        <v>3</v>
      </c>
      <c r="C934" s="65" t="s">
        <v>173</v>
      </c>
      <c r="D934" s="103">
        <v>21</v>
      </c>
      <c r="E934" s="103">
        <v>17</v>
      </c>
      <c r="F934" s="103">
        <v>22</v>
      </c>
      <c r="G934" s="103">
        <v>21</v>
      </c>
      <c r="H934" s="104">
        <v>19</v>
      </c>
      <c r="I934" s="104"/>
      <c r="J934" s="104"/>
      <c r="K934" s="104"/>
      <c r="L934" s="104"/>
      <c r="M934" s="104"/>
      <c r="N934" s="104"/>
      <c r="O934" s="104"/>
      <c r="P934" s="105">
        <v>100</v>
      </c>
    </row>
    <row r="935" spans="1:16" ht="60">
      <c r="A935" s="38">
        <v>45</v>
      </c>
      <c r="B935" s="38" t="s">
        <v>3</v>
      </c>
      <c r="C935" s="65" t="s">
        <v>174</v>
      </c>
      <c r="D935" s="103">
        <v>2</v>
      </c>
      <c r="E935" s="103"/>
      <c r="F935" s="103"/>
      <c r="G935" s="103"/>
      <c r="H935" s="104">
        <v>2</v>
      </c>
      <c r="I935" s="104"/>
      <c r="J935" s="104"/>
      <c r="K935" s="104"/>
      <c r="L935" s="104"/>
      <c r="M935" s="104"/>
      <c r="N935" s="104"/>
      <c r="O935" s="104"/>
      <c r="P935" s="105">
        <v>4</v>
      </c>
    </row>
    <row r="936" spans="1:16" ht="75">
      <c r="A936" s="38">
        <v>46</v>
      </c>
      <c r="B936" s="38" t="s">
        <v>3</v>
      </c>
      <c r="C936" s="65" t="s">
        <v>175</v>
      </c>
      <c r="D936" s="103">
        <v>118</v>
      </c>
      <c r="E936" s="103">
        <v>226</v>
      </c>
      <c r="F936" s="103">
        <v>221</v>
      </c>
      <c r="G936" s="103">
        <v>260</v>
      </c>
      <c r="H936" s="104">
        <v>295</v>
      </c>
      <c r="I936" s="104"/>
      <c r="J936" s="104"/>
      <c r="K936" s="104"/>
      <c r="L936" s="104"/>
      <c r="M936" s="104"/>
      <c r="N936" s="104"/>
      <c r="O936" s="104"/>
      <c r="P936" s="105">
        <v>1120</v>
      </c>
    </row>
    <row r="937" spans="1:16" ht="90">
      <c r="A937" s="38">
        <v>47</v>
      </c>
      <c r="B937" s="38" t="s">
        <v>3</v>
      </c>
      <c r="C937" s="65" t="s">
        <v>176</v>
      </c>
      <c r="D937" s="103">
        <v>1686</v>
      </c>
      <c r="E937" s="103">
        <v>1589</v>
      </c>
      <c r="F937" s="103">
        <v>1818</v>
      </c>
      <c r="G937" s="103">
        <v>1878</v>
      </c>
      <c r="H937" s="104">
        <v>1550</v>
      </c>
      <c r="I937" s="104"/>
      <c r="J937" s="104"/>
      <c r="K937" s="104"/>
      <c r="L937" s="104"/>
      <c r="M937" s="104"/>
      <c r="N937" s="104"/>
      <c r="O937" s="104"/>
      <c r="P937" s="105">
        <v>8521</v>
      </c>
    </row>
    <row r="938" spans="1:16" ht="75">
      <c r="A938" s="38">
        <v>48</v>
      </c>
      <c r="B938" s="38" t="s">
        <v>3</v>
      </c>
      <c r="C938" s="65" t="s">
        <v>177</v>
      </c>
      <c r="D938" s="103">
        <v>5</v>
      </c>
      <c r="E938" s="103">
        <v>10</v>
      </c>
      <c r="F938" s="103">
        <v>7</v>
      </c>
      <c r="G938" s="103">
        <v>14</v>
      </c>
      <c r="H938" s="104">
        <v>10</v>
      </c>
      <c r="I938" s="104"/>
      <c r="J938" s="104"/>
      <c r="K938" s="104"/>
      <c r="L938" s="104"/>
      <c r="M938" s="104"/>
      <c r="N938" s="104"/>
      <c r="O938" s="104"/>
      <c r="P938" s="105">
        <v>46</v>
      </c>
    </row>
    <row r="939" spans="1:16" ht="75">
      <c r="A939" s="38">
        <v>49</v>
      </c>
      <c r="B939" s="38" t="s">
        <v>3</v>
      </c>
      <c r="C939" s="65" t="s">
        <v>178</v>
      </c>
      <c r="D939" s="103">
        <v>1</v>
      </c>
      <c r="E939" s="103">
        <v>1</v>
      </c>
      <c r="F939" s="103">
        <v>4</v>
      </c>
      <c r="G939" s="103">
        <v>3</v>
      </c>
      <c r="H939" s="104">
        <v>1</v>
      </c>
      <c r="I939" s="104"/>
      <c r="J939" s="104"/>
      <c r="K939" s="104"/>
      <c r="L939" s="104"/>
      <c r="M939" s="104"/>
      <c r="N939" s="104"/>
      <c r="O939" s="104"/>
      <c r="P939" s="105">
        <v>10</v>
      </c>
    </row>
    <row r="940" spans="1:16" ht="60">
      <c r="A940" s="38">
        <v>50</v>
      </c>
      <c r="B940" s="38" t="s">
        <v>3</v>
      </c>
      <c r="C940" s="65" t="s">
        <v>180</v>
      </c>
      <c r="D940" s="103">
        <v>4</v>
      </c>
      <c r="E940" s="103">
        <v>3</v>
      </c>
      <c r="F940" s="103">
        <v>1</v>
      </c>
      <c r="G940" s="103">
        <v>3</v>
      </c>
      <c r="H940" s="104"/>
      <c r="I940" s="104"/>
      <c r="J940" s="104"/>
      <c r="K940" s="104"/>
      <c r="L940" s="104"/>
      <c r="M940" s="104"/>
      <c r="N940" s="104"/>
      <c r="O940" s="104"/>
      <c r="P940" s="105">
        <v>11</v>
      </c>
    </row>
    <row r="941" spans="1:16" ht="60">
      <c r="A941" s="38">
        <v>51</v>
      </c>
      <c r="B941" s="38" t="s">
        <v>3</v>
      </c>
      <c r="C941" s="65" t="s">
        <v>181</v>
      </c>
      <c r="D941" s="103">
        <v>10</v>
      </c>
      <c r="E941" s="103">
        <v>4</v>
      </c>
      <c r="F941" s="103">
        <v>12</v>
      </c>
      <c r="G941" s="103">
        <v>8</v>
      </c>
      <c r="H941" s="104">
        <v>4</v>
      </c>
      <c r="I941" s="104"/>
      <c r="J941" s="104"/>
      <c r="K941" s="104"/>
      <c r="L941" s="104"/>
      <c r="M941" s="104"/>
      <c r="N941" s="104"/>
      <c r="O941" s="104"/>
      <c r="P941" s="105">
        <v>38</v>
      </c>
    </row>
    <row r="942" spans="1:16" ht="45">
      <c r="A942" s="38">
        <v>52</v>
      </c>
      <c r="B942" s="38" t="s">
        <v>3</v>
      </c>
      <c r="C942" s="65" t="s">
        <v>183</v>
      </c>
      <c r="D942" s="103">
        <v>2</v>
      </c>
      <c r="E942" s="103"/>
      <c r="F942" s="103">
        <v>5</v>
      </c>
      <c r="G942" s="103">
        <v>7</v>
      </c>
      <c r="H942" s="104">
        <v>4</v>
      </c>
      <c r="I942" s="104"/>
      <c r="J942" s="104"/>
      <c r="K942" s="104"/>
      <c r="L942" s="104"/>
      <c r="M942" s="104"/>
      <c r="N942" s="104"/>
      <c r="O942" s="104"/>
      <c r="P942" s="105">
        <v>18</v>
      </c>
    </row>
    <row r="943" spans="1:16" ht="45">
      <c r="A943" s="38">
        <v>53</v>
      </c>
      <c r="B943" s="38" t="s">
        <v>3</v>
      </c>
      <c r="C943" s="65" t="s">
        <v>184</v>
      </c>
      <c r="D943" s="103">
        <v>2</v>
      </c>
      <c r="E943" s="103"/>
      <c r="F943" s="103"/>
      <c r="G943" s="103">
        <v>2</v>
      </c>
      <c r="H943" s="104">
        <v>0</v>
      </c>
      <c r="I943" s="104"/>
      <c r="J943" s="104"/>
      <c r="K943" s="104"/>
      <c r="L943" s="104"/>
      <c r="M943" s="104"/>
      <c r="N943" s="104"/>
      <c r="O943" s="104"/>
      <c r="P943" s="105">
        <v>4</v>
      </c>
    </row>
    <row r="944" spans="1:16" ht="45">
      <c r="A944" s="38">
        <v>54</v>
      </c>
      <c r="B944" s="38" t="s">
        <v>3</v>
      </c>
      <c r="C944" s="65" t="s">
        <v>185</v>
      </c>
      <c r="D944" s="103">
        <v>18</v>
      </c>
      <c r="E944" s="103">
        <v>19</v>
      </c>
      <c r="F944" s="103">
        <v>14</v>
      </c>
      <c r="G944" s="103">
        <v>9</v>
      </c>
      <c r="H944" s="104">
        <v>6</v>
      </c>
      <c r="I944" s="104"/>
      <c r="J944" s="104"/>
      <c r="K944" s="104"/>
      <c r="L944" s="104"/>
      <c r="M944" s="104"/>
      <c r="N944" s="104"/>
      <c r="O944" s="104"/>
      <c r="P944" s="105">
        <v>66</v>
      </c>
    </row>
    <row r="945" spans="1:16" ht="75">
      <c r="A945" s="38">
        <v>55</v>
      </c>
      <c r="B945" s="38" t="s">
        <v>3</v>
      </c>
      <c r="C945" s="65" t="s">
        <v>186</v>
      </c>
      <c r="D945" s="103"/>
      <c r="E945" s="103">
        <v>1</v>
      </c>
      <c r="F945" s="103"/>
      <c r="G945" s="103">
        <v>2</v>
      </c>
      <c r="H945" s="104">
        <v>1</v>
      </c>
      <c r="I945" s="104"/>
      <c r="J945" s="104"/>
      <c r="K945" s="104"/>
      <c r="L945" s="104"/>
      <c r="M945" s="104"/>
      <c r="N945" s="104"/>
      <c r="O945" s="104"/>
      <c r="P945" s="105">
        <v>4</v>
      </c>
    </row>
    <row r="946" spans="1:16" ht="75">
      <c r="A946" s="38">
        <v>56</v>
      </c>
      <c r="B946" s="38" t="s">
        <v>3</v>
      </c>
      <c r="C946" s="65" t="s">
        <v>187</v>
      </c>
      <c r="D946" s="103">
        <v>11</v>
      </c>
      <c r="E946" s="103">
        <v>13</v>
      </c>
      <c r="F946" s="103">
        <v>10</v>
      </c>
      <c r="G946" s="103">
        <v>13</v>
      </c>
      <c r="H946" s="104">
        <v>10</v>
      </c>
      <c r="I946" s="104"/>
      <c r="J946" s="104"/>
      <c r="K946" s="104"/>
      <c r="L946" s="104"/>
      <c r="M946" s="104"/>
      <c r="N946" s="104"/>
      <c r="O946" s="104"/>
      <c r="P946" s="105">
        <v>57</v>
      </c>
    </row>
    <row r="947" spans="1:16" ht="60">
      <c r="A947" s="38">
        <v>57</v>
      </c>
      <c r="B947" s="38" t="s">
        <v>3</v>
      </c>
      <c r="C947" s="65" t="s">
        <v>188</v>
      </c>
      <c r="D947" s="103">
        <v>36</v>
      </c>
      <c r="E947" s="103">
        <v>26</v>
      </c>
      <c r="F947" s="103">
        <v>30</v>
      </c>
      <c r="G947" s="103">
        <v>35</v>
      </c>
      <c r="H947" s="104">
        <v>47</v>
      </c>
      <c r="I947" s="104"/>
      <c r="J947" s="104"/>
      <c r="K947" s="104"/>
      <c r="L947" s="104"/>
      <c r="M947" s="104"/>
      <c r="N947" s="104"/>
      <c r="O947" s="104"/>
      <c r="P947" s="105">
        <v>174</v>
      </c>
    </row>
    <row r="948" spans="1:16" ht="60">
      <c r="A948" s="38">
        <v>58</v>
      </c>
      <c r="B948" s="38" t="s">
        <v>3</v>
      </c>
      <c r="C948" s="65" t="s">
        <v>189</v>
      </c>
      <c r="D948" s="103">
        <v>11</v>
      </c>
      <c r="E948" s="103">
        <v>15</v>
      </c>
      <c r="F948" s="103">
        <v>15</v>
      </c>
      <c r="G948" s="103">
        <v>10</v>
      </c>
      <c r="H948" s="104">
        <v>18</v>
      </c>
      <c r="I948" s="104"/>
      <c r="J948" s="104"/>
      <c r="K948" s="104"/>
      <c r="L948" s="104"/>
      <c r="M948" s="104"/>
      <c r="N948" s="104"/>
      <c r="O948" s="104"/>
      <c r="P948" s="105">
        <v>69</v>
      </c>
    </row>
    <row r="949" spans="1:16" ht="60">
      <c r="A949" s="38">
        <v>59</v>
      </c>
      <c r="B949" s="38" t="s">
        <v>3</v>
      </c>
      <c r="C949" s="65" t="s">
        <v>190</v>
      </c>
      <c r="D949" s="103">
        <v>7</v>
      </c>
      <c r="E949" s="103">
        <v>3</v>
      </c>
      <c r="F949" s="103">
        <v>8</v>
      </c>
      <c r="G949" s="103">
        <v>7</v>
      </c>
      <c r="H949" s="104">
        <v>2</v>
      </c>
      <c r="I949" s="104"/>
      <c r="J949" s="104"/>
      <c r="K949" s="104"/>
      <c r="L949" s="104"/>
      <c r="M949" s="104"/>
      <c r="N949" s="104"/>
      <c r="O949" s="104"/>
      <c r="P949" s="105">
        <v>27</v>
      </c>
    </row>
    <row r="950" spans="1:16" ht="45">
      <c r="A950" s="38">
        <v>60</v>
      </c>
      <c r="B950" s="38" t="s">
        <v>3</v>
      </c>
      <c r="C950" s="65" t="s">
        <v>191</v>
      </c>
      <c r="D950" s="103">
        <v>7</v>
      </c>
      <c r="E950" s="103">
        <v>6</v>
      </c>
      <c r="F950" s="103">
        <v>4</v>
      </c>
      <c r="G950" s="103">
        <v>13</v>
      </c>
      <c r="H950" s="104">
        <v>11</v>
      </c>
      <c r="I950" s="104"/>
      <c r="J950" s="104"/>
      <c r="K950" s="104"/>
      <c r="L950" s="104"/>
      <c r="M950" s="104"/>
      <c r="N950" s="104"/>
      <c r="O950" s="104"/>
      <c r="P950" s="105">
        <v>41</v>
      </c>
    </row>
    <row r="951" spans="1:16" ht="75">
      <c r="A951" s="38">
        <v>61</v>
      </c>
      <c r="B951" s="38" t="s">
        <v>3</v>
      </c>
      <c r="C951" s="65" t="s">
        <v>192</v>
      </c>
      <c r="D951" s="103">
        <v>4</v>
      </c>
      <c r="E951" s="103"/>
      <c r="F951" s="103"/>
      <c r="G951" s="103">
        <v>1</v>
      </c>
      <c r="H951" s="104">
        <v>1</v>
      </c>
      <c r="I951" s="104"/>
      <c r="J951" s="104"/>
      <c r="K951" s="104"/>
      <c r="L951" s="104"/>
      <c r="M951" s="104"/>
      <c r="N951" s="104"/>
      <c r="O951" s="104"/>
      <c r="P951" s="105">
        <v>6</v>
      </c>
    </row>
    <row r="952" spans="1:16" ht="60">
      <c r="A952" s="38">
        <v>62</v>
      </c>
      <c r="B952" s="38" t="s">
        <v>3</v>
      </c>
      <c r="C952" s="65" t="s">
        <v>194</v>
      </c>
      <c r="D952" s="103">
        <v>3</v>
      </c>
      <c r="E952" s="103">
        <v>5</v>
      </c>
      <c r="F952" s="103">
        <v>4</v>
      </c>
      <c r="G952" s="103">
        <v>4</v>
      </c>
      <c r="H952" s="104">
        <v>6</v>
      </c>
      <c r="I952" s="104"/>
      <c r="J952" s="104"/>
      <c r="K952" s="104"/>
      <c r="L952" s="104"/>
      <c r="M952" s="104"/>
      <c r="N952" s="104"/>
      <c r="O952" s="104"/>
      <c r="P952" s="105">
        <v>22</v>
      </c>
    </row>
    <row r="953" spans="1:16" ht="60">
      <c r="A953" s="38">
        <v>63</v>
      </c>
      <c r="B953" s="38" t="s">
        <v>3</v>
      </c>
      <c r="C953" s="65" t="s">
        <v>195</v>
      </c>
      <c r="D953" s="103"/>
      <c r="E953" s="103">
        <v>1</v>
      </c>
      <c r="F953" s="103">
        <v>6</v>
      </c>
      <c r="G953" s="103">
        <v>3</v>
      </c>
      <c r="H953" s="104">
        <v>4</v>
      </c>
      <c r="I953" s="104"/>
      <c r="J953" s="104"/>
      <c r="K953" s="104"/>
      <c r="L953" s="104"/>
      <c r="M953" s="104"/>
      <c r="N953" s="104"/>
      <c r="O953" s="104"/>
      <c r="P953" s="105">
        <v>14</v>
      </c>
    </row>
    <row r="954" spans="1:16" ht="60">
      <c r="A954" s="38">
        <v>64</v>
      </c>
      <c r="B954" s="38" t="s">
        <v>3</v>
      </c>
      <c r="C954" s="65" t="s">
        <v>196</v>
      </c>
      <c r="D954" s="103">
        <v>5</v>
      </c>
      <c r="E954" s="103">
        <v>2</v>
      </c>
      <c r="F954" s="103">
        <v>3</v>
      </c>
      <c r="G954" s="103">
        <v>1</v>
      </c>
      <c r="H954" s="104">
        <v>2</v>
      </c>
      <c r="I954" s="104"/>
      <c r="J954" s="104"/>
      <c r="K954" s="104"/>
      <c r="L954" s="104"/>
      <c r="M954" s="104"/>
      <c r="N954" s="104"/>
      <c r="O954" s="104"/>
      <c r="P954" s="105">
        <v>13</v>
      </c>
    </row>
    <row r="955" spans="1:16" ht="45">
      <c r="A955" s="38">
        <v>65</v>
      </c>
      <c r="B955" s="38" t="s">
        <v>3</v>
      </c>
      <c r="C955" s="65" t="s">
        <v>197</v>
      </c>
      <c r="D955" s="103">
        <v>25</v>
      </c>
      <c r="E955" s="103">
        <v>30</v>
      </c>
      <c r="F955" s="103">
        <v>22</v>
      </c>
      <c r="G955" s="103">
        <v>24</v>
      </c>
      <c r="H955" s="104">
        <v>22</v>
      </c>
      <c r="I955" s="104"/>
      <c r="J955" s="104"/>
      <c r="K955" s="104"/>
      <c r="L955" s="104"/>
      <c r="M955" s="104"/>
      <c r="N955" s="104"/>
      <c r="O955" s="104"/>
      <c r="P955" s="105">
        <v>123</v>
      </c>
    </row>
    <row r="956" spans="1:16" ht="45">
      <c r="A956" s="38">
        <v>66</v>
      </c>
      <c r="B956" s="38" t="s">
        <v>3</v>
      </c>
      <c r="C956" s="65" t="s">
        <v>198</v>
      </c>
      <c r="D956" s="103">
        <v>8</v>
      </c>
      <c r="E956" s="103">
        <v>13</v>
      </c>
      <c r="F956" s="103">
        <v>12</v>
      </c>
      <c r="G956" s="103">
        <v>12</v>
      </c>
      <c r="H956" s="104">
        <v>10</v>
      </c>
      <c r="I956" s="104"/>
      <c r="J956" s="104"/>
      <c r="K956" s="104"/>
      <c r="L956" s="104"/>
      <c r="M956" s="104"/>
      <c r="N956" s="104"/>
      <c r="O956" s="104"/>
      <c r="P956" s="105">
        <v>55</v>
      </c>
    </row>
    <row r="957" spans="1:16" ht="60">
      <c r="A957" s="38">
        <v>67</v>
      </c>
      <c r="B957" s="38" t="s">
        <v>3</v>
      </c>
      <c r="C957" s="65" t="s">
        <v>199</v>
      </c>
      <c r="D957" s="103">
        <v>65</v>
      </c>
      <c r="E957" s="103">
        <v>65</v>
      </c>
      <c r="F957" s="103">
        <v>70</v>
      </c>
      <c r="G957" s="103">
        <v>68</v>
      </c>
      <c r="H957" s="104">
        <v>69</v>
      </c>
      <c r="I957" s="104"/>
      <c r="J957" s="104"/>
      <c r="K957" s="104"/>
      <c r="L957" s="104"/>
      <c r="M957" s="104"/>
      <c r="N957" s="104"/>
      <c r="O957" s="104"/>
      <c r="P957" s="105">
        <v>337</v>
      </c>
    </row>
    <row r="958" spans="1:16" ht="30">
      <c r="A958" s="38">
        <v>68</v>
      </c>
      <c r="B958" s="38" t="s">
        <v>3</v>
      </c>
      <c r="C958" s="65" t="s">
        <v>200</v>
      </c>
      <c r="D958" s="103">
        <v>2</v>
      </c>
      <c r="E958" s="103">
        <v>2</v>
      </c>
      <c r="F958" s="103">
        <v>2</v>
      </c>
      <c r="G958" s="103">
        <v>3</v>
      </c>
      <c r="H958" s="104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5">
      <c r="A959" s="38">
        <v>69</v>
      </c>
      <c r="B959" s="38" t="s">
        <v>3</v>
      </c>
      <c r="C959" s="65" t="s">
        <v>201</v>
      </c>
      <c r="D959" s="103">
        <v>1</v>
      </c>
      <c r="E959" s="103">
        <v>1</v>
      </c>
      <c r="F959" s="103">
        <v>1</v>
      </c>
      <c r="G959" s="103"/>
      <c r="H959" s="104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60">
      <c r="A960" s="38">
        <v>70</v>
      </c>
      <c r="B960" s="38" t="s">
        <v>3</v>
      </c>
      <c r="C960" s="65" t="s">
        <v>202</v>
      </c>
      <c r="D960" s="103">
        <v>1</v>
      </c>
      <c r="E960" s="103">
        <v>2</v>
      </c>
      <c r="F960" s="103">
        <v>1</v>
      </c>
      <c r="G960" s="103"/>
      <c r="H960" s="104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5">
      <c r="A961" s="38">
        <v>71</v>
      </c>
      <c r="B961" s="38" t="s">
        <v>3</v>
      </c>
      <c r="C961" s="65" t="s">
        <v>203</v>
      </c>
      <c r="D961" s="103">
        <v>2</v>
      </c>
      <c r="E961" s="103">
        <v>2</v>
      </c>
      <c r="F961" s="103">
        <v>1</v>
      </c>
      <c r="G961" s="103">
        <v>3</v>
      </c>
      <c r="H961" s="104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5">
      <c r="A962" s="38">
        <v>72</v>
      </c>
      <c r="B962" s="38" t="s">
        <v>3</v>
      </c>
      <c r="C962" s="65" t="s">
        <v>204</v>
      </c>
      <c r="D962" s="103">
        <v>13</v>
      </c>
      <c r="E962" s="103">
        <v>7</v>
      </c>
      <c r="F962" s="103">
        <v>10</v>
      </c>
      <c r="G962" s="103">
        <v>18</v>
      </c>
      <c r="H962" s="104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5">
      <c r="A963" s="38">
        <v>73</v>
      </c>
      <c r="B963" s="38" t="s">
        <v>3</v>
      </c>
      <c r="C963" s="65" t="s">
        <v>206</v>
      </c>
      <c r="D963" s="103">
        <v>145</v>
      </c>
      <c r="E963" s="103">
        <v>127</v>
      </c>
      <c r="F963" s="103">
        <v>200</v>
      </c>
      <c r="G963" s="103">
        <v>195</v>
      </c>
      <c r="H963" s="104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5">
      <c r="A964" s="38">
        <v>74</v>
      </c>
      <c r="B964" s="38" t="s">
        <v>3</v>
      </c>
      <c r="C964" s="65" t="s">
        <v>207</v>
      </c>
      <c r="D964" s="103">
        <v>5</v>
      </c>
      <c r="E964" s="103">
        <v>9</v>
      </c>
      <c r="F964" s="103">
        <v>4</v>
      </c>
      <c r="G964" s="103">
        <v>1</v>
      </c>
      <c r="H964" s="104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60">
      <c r="A965" s="38">
        <v>75</v>
      </c>
      <c r="B965" s="38" t="s">
        <v>3</v>
      </c>
      <c r="C965" s="65" t="s">
        <v>208</v>
      </c>
      <c r="D965" s="103">
        <v>148</v>
      </c>
      <c r="E965" s="103">
        <v>188</v>
      </c>
      <c r="F965" s="103">
        <v>261</v>
      </c>
      <c r="G965" s="103">
        <v>212</v>
      </c>
      <c r="H965" s="104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60">
      <c r="A966" s="38">
        <v>76</v>
      </c>
      <c r="B966" s="38" t="s">
        <v>3</v>
      </c>
      <c r="C966" s="65" t="s">
        <v>209</v>
      </c>
      <c r="D966" s="103"/>
      <c r="E966" s="103">
        <v>1</v>
      </c>
      <c r="F966" s="103">
        <v>2</v>
      </c>
      <c r="G966" s="103"/>
      <c r="H966" s="104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5">
      <c r="A967" s="38">
        <v>77</v>
      </c>
      <c r="B967" s="38" t="s">
        <v>3</v>
      </c>
      <c r="C967" s="65" t="s">
        <v>210</v>
      </c>
      <c r="D967" s="103">
        <v>23</v>
      </c>
      <c r="E967" s="103">
        <v>15</v>
      </c>
      <c r="F967" s="103">
        <v>20</v>
      </c>
      <c r="G967" s="103">
        <v>14</v>
      </c>
      <c r="H967" s="104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60">
      <c r="A968" s="38">
        <v>78</v>
      </c>
      <c r="B968" s="38" t="s">
        <v>3</v>
      </c>
      <c r="C968" s="65" t="s">
        <v>211</v>
      </c>
      <c r="D968" s="103">
        <v>62</v>
      </c>
      <c r="E968" s="103">
        <v>65</v>
      </c>
      <c r="F968" s="103">
        <v>65</v>
      </c>
      <c r="G968" s="103">
        <v>68</v>
      </c>
      <c r="H968" s="104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60">
      <c r="A969" s="38">
        <v>79</v>
      </c>
      <c r="B969" s="38" t="s">
        <v>3</v>
      </c>
      <c r="C969" s="65" t="s">
        <v>212</v>
      </c>
      <c r="D969" s="103">
        <v>6</v>
      </c>
      <c r="E969" s="103">
        <v>4</v>
      </c>
      <c r="F969" s="103">
        <v>4</v>
      </c>
      <c r="G969" s="103">
        <v>6</v>
      </c>
      <c r="H969" s="104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45">
      <c r="A970" s="38">
        <v>80</v>
      </c>
      <c r="B970" s="38" t="s">
        <v>3</v>
      </c>
      <c r="C970" s="65" t="s">
        <v>214</v>
      </c>
      <c r="D970" s="103">
        <v>19</v>
      </c>
      <c r="E970" s="103">
        <v>20</v>
      </c>
      <c r="F970" s="103">
        <v>31</v>
      </c>
      <c r="G970" s="103">
        <v>26</v>
      </c>
      <c r="H970" s="104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60">
      <c r="A971" s="38">
        <v>81</v>
      </c>
      <c r="B971" s="38" t="s">
        <v>3</v>
      </c>
      <c r="C971" s="65" t="s">
        <v>217</v>
      </c>
      <c r="D971" s="103">
        <v>4</v>
      </c>
      <c r="E971" s="103">
        <v>2</v>
      </c>
      <c r="F971" s="103">
        <v>4</v>
      </c>
      <c r="G971" s="103">
        <v>4</v>
      </c>
      <c r="H971" s="104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45">
      <c r="A972" s="38">
        <v>82</v>
      </c>
      <c r="B972" s="38" t="s">
        <v>3</v>
      </c>
      <c r="C972" s="65" t="s">
        <v>218</v>
      </c>
      <c r="D972" s="103">
        <v>2</v>
      </c>
      <c r="E972" s="103">
        <v>1</v>
      </c>
      <c r="F972" s="103">
        <v>1</v>
      </c>
      <c r="G972" s="103">
        <v>4</v>
      </c>
      <c r="H972" s="104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45">
      <c r="A973" s="38">
        <v>83</v>
      </c>
      <c r="B973" s="38" t="s">
        <v>3</v>
      </c>
      <c r="C973" s="65" t="s">
        <v>220</v>
      </c>
      <c r="D973" s="103">
        <v>16</v>
      </c>
      <c r="E973" s="103">
        <v>24</v>
      </c>
      <c r="F973" s="103">
        <v>24</v>
      </c>
      <c r="G973" s="103">
        <v>26</v>
      </c>
      <c r="H973" s="104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5">
      <c r="A974" s="38">
        <v>84</v>
      </c>
      <c r="B974" s="38" t="s">
        <v>3</v>
      </c>
      <c r="C974" s="65" t="s">
        <v>221</v>
      </c>
      <c r="D974" s="103">
        <v>23</v>
      </c>
      <c r="E974" s="103">
        <v>42</v>
      </c>
      <c r="F974" s="103">
        <v>37</v>
      </c>
      <c r="G974" s="103">
        <v>40</v>
      </c>
      <c r="H974" s="104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45">
      <c r="A975" s="38">
        <v>85</v>
      </c>
      <c r="B975" s="38" t="s">
        <v>3</v>
      </c>
      <c r="C975" s="65" t="s">
        <v>222</v>
      </c>
      <c r="D975" s="103">
        <v>3</v>
      </c>
      <c r="E975" s="103">
        <v>7</v>
      </c>
      <c r="F975" s="103"/>
      <c r="G975" s="103">
        <v>6</v>
      </c>
      <c r="H975" s="104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60">
      <c r="A976" s="38">
        <v>86</v>
      </c>
      <c r="B976" s="38" t="s">
        <v>3</v>
      </c>
      <c r="C976" s="65" t="s">
        <v>223</v>
      </c>
      <c r="D976" s="103">
        <v>54</v>
      </c>
      <c r="E976" s="103">
        <v>62</v>
      </c>
      <c r="F976" s="103">
        <v>61</v>
      </c>
      <c r="G976" s="103">
        <v>53</v>
      </c>
      <c r="H976" s="104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30">
      <c r="A977" s="38">
        <v>87</v>
      </c>
      <c r="B977" s="38" t="s">
        <v>3</v>
      </c>
      <c r="C977" s="65" t="s">
        <v>224</v>
      </c>
      <c r="D977" s="103">
        <v>16</v>
      </c>
      <c r="E977" s="103">
        <v>22</v>
      </c>
      <c r="F977" s="103">
        <v>17</v>
      </c>
      <c r="G977" s="103">
        <v>13</v>
      </c>
      <c r="H977" s="104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45">
      <c r="A978" s="38">
        <v>88</v>
      </c>
      <c r="B978" s="38" t="s">
        <v>3</v>
      </c>
      <c r="C978" s="65" t="s">
        <v>227</v>
      </c>
      <c r="D978" s="103"/>
      <c r="E978" s="103"/>
      <c r="F978" s="103">
        <v>7</v>
      </c>
      <c r="G978" s="103">
        <v>4</v>
      </c>
      <c r="H978" s="104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5">
      <c r="A979" s="38">
        <v>89</v>
      </c>
      <c r="B979" s="38" t="s">
        <v>3</v>
      </c>
      <c r="C979" s="65" t="s">
        <v>228</v>
      </c>
      <c r="D979" s="103">
        <v>1</v>
      </c>
      <c r="E979" s="103">
        <v>1</v>
      </c>
      <c r="F979" s="103">
        <v>1</v>
      </c>
      <c r="G979" s="103"/>
      <c r="H979" s="104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5">
      <c r="A980" s="38">
        <v>90</v>
      </c>
      <c r="B980" s="38" t="s">
        <v>3</v>
      </c>
      <c r="C980" s="65" t="s">
        <v>229</v>
      </c>
      <c r="D980" s="103">
        <v>11</v>
      </c>
      <c r="E980" s="103">
        <v>13</v>
      </c>
      <c r="F980" s="103">
        <v>11</v>
      </c>
      <c r="G980" s="103">
        <v>19</v>
      </c>
      <c r="H980" s="104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5">
      <c r="A981" s="38">
        <v>91</v>
      </c>
      <c r="B981" s="38" t="s">
        <v>3</v>
      </c>
      <c r="C981" s="65" t="s">
        <v>232</v>
      </c>
      <c r="D981" s="103">
        <v>7</v>
      </c>
      <c r="E981" s="103"/>
      <c r="F981" s="103"/>
      <c r="G981" s="103"/>
      <c r="H981" s="104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90">
      <c r="A982" s="38">
        <v>92</v>
      </c>
      <c r="B982" s="38" t="s">
        <v>3</v>
      </c>
      <c r="C982" s="65" t="s">
        <v>233</v>
      </c>
      <c r="D982" s="103">
        <v>9</v>
      </c>
      <c r="E982" s="103"/>
      <c r="F982" s="103"/>
      <c r="G982" s="103"/>
      <c r="H982" s="104"/>
      <c r="I982" s="97"/>
      <c r="J982" s="97"/>
      <c r="K982" s="97"/>
      <c r="L982" s="97"/>
      <c r="M982" s="97"/>
      <c r="N982" s="97"/>
      <c r="O982" s="97"/>
      <c r="P982" s="17">
        <v>9</v>
      </c>
    </row>
    <row r="983" spans="1:16" ht="75">
      <c r="A983" s="38">
        <v>93</v>
      </c>
      <c r="B983" s="38" t="s">
        <v>3</v>
      </c>
      <c r="C983" s="65" t="s">
        <v>234</v>
      </c>
      <c r="D983" s="103"/>
      <c r="E983" s="103">
        <v>2</v>
      </c>
      <c r="F983" s="103">
        <v>3</v>
      </c>
      <c r="G983" s="103">
        <v>3</v>
      </c>
      <c r="H983" s="104">
        <v>1</v>
      </c>
      <c r="I983" s="97"/>
      <c r="J983" s="97"/>
      <c r="K983" s="97"/>
      <c r="L983" s="97"/>
      <c r="M983" s="97"/>
      <c r="N983" s="97"/>
      <c r="O983" s="97"/>
      <c r="P983" s="17">
        <v>9</v>
      </c>
    </row>
    <row r="984" spans="1:16" ht="45">
      <c r="A984" s="38">
        <v>94</v>
      </c>
      <c r="B984" s="38" t="s">
        <v>3</v>
      </c>
      <c r="C984" s="65" t="s">
        <v>235</v>
      </c>
      <c r="D984" s="103">
        <v>22</v>
      </c>
      <c r="E984" s="103">
        <v>21</v>
      </c>
      <c r="F984" s="103">
        <v>26</v>
      </c>
      <c r="G984" s="103">
        <v>33</v>
      </c>
      <c r="H984" s="104">
        <v>26</v>
      </c>
      <c r="I984" s="97"/>
      <c r="J984" s="97"/>
      <c r="K984" s="97"/>
      <c r="L984" s="97"/>
      <c r="M984" s="97"/>
      <c r="N984" s="97"/>
      <c r="O984" s="97"/>
      <c r="P984" s="17">
        <v>128</v>
      </c>
    </row>
    <row r="985" spans="1:16" ht="45">
      <c r="A985" s="38">
        <v>95</v>
      </c>
      <c r="B985" s="38" t="s">
        <v>3</v>
      </c>
      <c r="C985" s="65" t="s">
        <v>237</v>
      </c>
      <c r="D985" s="103">
        <v>94</v>
      </c>
      <c r="E985" s="103">
        <v>128</v>
      </c>
      <c r="F985" s="103">
        <v>177</v>
      </c>
      <c r="G985" s="103">
        <v>172</v>
      </c>
      <c r="H985" s="104">
        <v>156</v>
      </c>
      <c r="I985" s="97"/>
      <c r="J985" s="97"/>
      <c r="K985" s="97"/>
      <c r="L985" s="97"/>
      <c r="M985" s="97"/>
      <c r="N985" s="97"/>
      <c r="O985" s="97"/>
      <c r="P985" s="17">
        <v>727</v>
      </c>
    </row>
    <row r="986" spans="1:16" ht="45">
      <c r="A986" s="38">
        <v>96</v>
      </c>
      <c r="B986" s="38" t="s">
        <v>3</v>
      </c>
      <c r="C986" s="65" t="s">
        <v>238</v>
      </c>
      <c r="D986" s="103">
        <v>13</v>
      </c>
      <c r="E986" s="103">
        <v>17</v>
      </c>
      <c r="F986" s="103">
        <v>14</v>
      </c>
      <c r="G986" s="103">
        <v>19</v>
      </c>
      <c r="H986" s="104">
        <v>17</v>
      </c>
      <c r="I986" s="97"/>
      <c r="J986" s="97"/>
      <c r="K986" s="97"/>
      <c r="L986" s="97"/>
      <c r="M986" s="97"/>
      <c r="N986" s="97"/>
      <c r="O986" s="97"/>
      <c r="P986" s="17">
        <v>80</v>
      </c>
    </row>
    <row r="987" spans="1:16" ht="45">
      <c r="A987" s="38">
        <v>97</v>
      </c>
      <c r="B987" s="38" t="s">
        <v>3</v>
      </c>
      <c r="C987" s="65" t="s">
        <v>239</v>
      </c>
      <c r="D987" s="103">
        <v>11</v>
      </c>
      <c r="E987" s="103">
        <v>6</v>
      </c>
      <c r="F987" s="103">
        <v>9</v>
      </c>
      <c r="G987" s="103">
        <v>3</v>
      </c>
      <c r="H987" s="104">
        <v>5</v>
      </c>
      <c r="I987" s="97"/>
      <c r="J987" s="97"/>
      <c r="K987" s="97"/>
      <c r="L987" s="97"/>
      <c r="M987" s="97"/>
      <c r="N987" s="97"/>
      <c r="O987" s="97"/>
      <c r="P987" s="17">
        <v>34</v>
      </c>
    </row>
    <row r="988" spans="1:16" ht="45">
      <c r="A988" s="38">
        <v>98</v>
      </c>
      <c r="B988" s="38" t="s">
        <v>3</v>
      </c>
      <c r="C988" s="65" t="s">
        <v>240</v>
      </c>
      <c r="D988" s="103">
        <v>14</v>
      </c>
      <c r="E988" s="103">
        <v>23</v>
      </c>
      <c r="F988" s="103">
        <v>24</v>
      </c>
      <c r="G988" s="103">
        <v>16</v>
      </c>
      <c r="H988" s="104">
        <v>18</v>
      </c>
      <c r="I988" s="97"/>
      <c r="J988" s="97"/>
      <c r="K988" s="97"/>
      <c r="L988" s="97"/>
      <c r="M988" s="97"/>
      <c r="N988" s="97"/>
      <c r="O988" s="97"/>
      <c r="P988" s="17">
        <v>95</v>
      </c>
    </row>
    <row r="989" spans="1:16" ht="45">
      <c r="A989" s="38">
        <v>99</v>
      </c>
      <c r="B989" s="38" t="s">
        <v>3</v>
      </c>
      <c r="C989" s="65" t="s">
        <v>241</v>
      </c>
      <c r="D989" s="103">
        <v>8</v>
      </c>
      <c r="E989" s="103">
        <v>6</v>
      </c>
      <c r="F989" s="103">
        <v>7</v>
      </c>
      <c r="G989" s="103">
        <v>6</v>
      </c>
      <c r="H989" s="104">
        <v>6</v>
      </c>
      <c r="I989" s="97"/>
      <c r="J989" s="97"/>
      <c r="K989" s="97"/>
      <c r="L989" s="97"/>
      <c r="M989" s="97"/>
      <c r="N989" s="97"/>
      <c r="O989" s="97"/>
      <c r="P989" s="17">
        <v>33</v>
      </c>
    </row>
    <row r="990" spans="1:16" ht="60">
      <c r="A990" s="38">
        <v>100</v>
      </c>
      <c r="B990" s="38" t="s">
        <v>3</v>
      </c>
      <c r="C990" s="65" t="s">
        <v>242</v>
      </c>
      <c r="D990" s="103">
        <v>5</v>
      </c>
      <c r="E990" s="103">
        <v>12</v>
      </c>
      <c r="F990" s="103">
        <v>15</v>
      </c>
      <c r="G990" s="103">
        <v>10</v>
      </c>
      <c r="H990" s="104">
        <v>10</v>
      </c>
      <c r="I990" s="97"/>
      <c r="J990" s="97"/>
      <c r="K990" s="97"/>
      <c r="L990" s="97"/>
      <c r="M990" s="97"/>
      <c r="N990" s="97"/>
      <c r="O990" s="97"/>
      <c r="P990" s="17">
        <v>52</v>
      </c>
    </row>
    <row r="991" spans="1:16" ht="60">
      <c r="A991" s="38">
        <v>101</v>
      </c>
      <c r="B991" s="38" t="s">
        <v>3</v>
      </c>
      <c r="C991" s="65" t="s">
        <v>243</v>
      </c>
      <c r="D991" s="103">
        <v>1</v>
      </c>
      <c r="E991" s="103">
        <v>2</v>
      </c>
      <c r="F991" s="103">
        <v>1</v>
      </c>
      <c r="G991" s="103">
        <v>1</v>
      </c>
      <c r="H991" s="104">
        <v>1</v>
      </c>
      <c r="I991" s="97"/>
      <c r="J991" s="97"/>
      <c r="K991" s="97"/>
      <c r="L991" s="97"/>
      <c r="M991" s="97"/>
      <c r="N991" s="97"/>
      <c r="O991" s="97"/>
      <c r="P991" s="17">
        <v>6</v>
      </c>
    </row>
    <row r="992" spans="1:16" ht="60">
      <c r="A992" s="38">
        <v>102</v>
      </c>
      <c r="B992" s="38" t="s">
        <v>3</v>
      </c>
      <c r="C992" s="65" t="s">
        <v>244</v>
      </c>
      <c r="D992" s="103">
        <v>18</v>
      </c>
      <c r="E992" s="103">
        <v>13</v>
      </c>
      <c r="F992" s="103">
        <v>18</v>
      </c>
      <c r="G992" s="103">
        <v>17</v>
      </c>
      <c r="H992" s="104">
        <v>20</v>
      </c>
      <c r="I992" s="97"/>
      <c r="J992" s="97"/>
      <c r="K992" s="97"/>
      <c r="L992" s="97"/>
      <c r="M992" s="97"/>
      <c r="N992" s="97"/>
      <c r="O992" s="97"/>
      <c r="P992" s="17">
        <v>86</v>
      </c>
    </row>
    <row r="993" spans="1:16" ht="105">
      <c r="A993" s="38">
        <v>103</v>
      </c>
      <c r="B993" s="38" t="s">
        <v>3</v>
      </c>
      <c r="C993" s="65" t="s">
        <v>246</v>
      </c>
      <c r="D993" s="103"/>
      <c r="E993" s="103">
        <v>1</v>
      </c>
      <c r="F993" s="103"/>
      <c r="G993" s="103"/>
      <c r="H993" s="104"/>
      <c r="I993" s="97"/>
      <c r="J993" s="97"/>
      <c r="K993" s="97"/>
      <c r="L993" s="97"/>
      <c r="M993" s="97"/>
      <c r="N993" s="97"/>
      <c r="O993" s="97"/>
      <c r="P993" s="17">
        <v>1</v>
      </c>
    </row>
    <row r="994" spans="1:16" ht="75">
      <c r="A994" s="38">
        <v>104</v>
      </c>
      <c r="B994" s="38" t="s">
        <v>3</v>
      </c>
      <c r="C994" s="65" t="s">
        <v>248</v>
      </c>
      <c r="D994" s="103">
        <v>1</v>
      </c>
      <c r="E994" s="103">
        <v>2</v>
      </c>
      <c r="F994" s="103">
        <v>1</v>
      </c>
      <c r="G994" s="103"/>
      <c r="H994" s="104">
        <v>1</v>
      </c>
      <c r="I994" s="97"/>
      <c r="J994" s="97"/>
      <c r="K994" s="97"/>
      <c r="L994" s="97"/>
      <c r="M994" s="97"/>
      <c r="N994" s="97"/>
      <c r="O994" s="97"/>
      <c r="P994" s="17">
        <v>5</v>
      </c>
    </row>
    <row r="995" spans="1:16" ht="60">
      <c r="A995" s="38">
        <v>105</v>
      </c>
      <c r="B995" s="38" t="s">
        <v>3</v>
      </c>
      <c r="C995" s="65" t="s">
        <v>249</v>
      </c>
      <c r="D995" s="103">
        <v>8</v>
      </c>
      <c r="E995" s="103">
        <v>7</v>
      </c>
      <c r="F995" s="103">
        <v>7</v>
      </c>
      <c r="G995" s="103">
        <v>10</v>
      </c>
      <c r="H995" s="104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5">
      <c r="A996" s="38">
        <v>106</v>
      </c>
      <c r="B996" s="38" t="s">
        <v>3</v>
      </c>
      <c r="C996" s="65" t="s">
        <v>250</v>
      </c>
      <c r="D996" s="103">
        <v>16</v>
      </c>
      <c r="E996" s="103">
        <v>13</v>
      </c>
      <c r="F996" s="103">
        <v>13</v>
      </c>
      <c r="G996" s="103">
        <v>17</v>
      </c>
      <c r="H996" s="104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60">
      <c r="A997" s="38">
        <v>107</v>
      </c>
      <c r="B997" s="38" t="s">
        <v>3</v>
      </c>
      <c r="C997" s="65" t="s">
        <v>251</v>
      </c>
      <c r="D997" s="103">
        <v>34</v>
      </c>
      <c r="E997" s="103">
        <v>38</v>
      </c>
      <c r="F997" s="103">
        <v>37</v>
      </c>
      <c r="G997" s="103">
        <v>48</v>
      </c>
      <c r="H997" s="104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5">
      <c r="A998" s="38">
        <v>108</v>
      </c>
      <c r="B998" s="38" t="s">
        <v>3</v>
      </c>
      <c r="C998" s="65" t="s">
        <v>252</v>
      </c>
      <c r="D998" s="103">
        <v>1</v>
      </c>
      <c r="E998" s="103">
        <v>1</v>
      </c>
      <c r="F998" s="103">
        <v>1</v>
      </c>
      <c r="G998" s="103"/>
      <c r="H998" s="104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75">
      <c r="A999" s="38">
        <v>109</v>
      </c>
      <c r="B999" s="38" t="s">
        <v>3</v>
      </c>
      <c r="C999" s="65" t="s">
        <v>1811</v>
      </c>
      <c r="D999" s="103"/>
      <c r="E999" s="103"/>
      <c r="F999" s="103"/>
      <c r="G999" s="103">
        <v>1</v>
      </c>
      <c r="H999" s="104">
        <v>1</v>
      </c>
      <c r="I999" s="97"/>
      <c r="J999" s="97"/>
      <c r="K999" s="97"/>
      <c r="L999" s="97"/>
      <c r="M999" s="97"/>
      <c r="N999" s="97"/>
      <c r="O999" s="97"/>
      <c r="P999" s="17">
        <v>2</v>
      </c>
    </row>
    <row r="1000" spans="1:16" ht="30">
      <c r="A1000" s="38">
        <v>110</v>
      </c>
      <c r="B1000" s="38" t="s">
        <v>3</v>
      </c>
      <c r="C1000" s="65" t="s">
        <v>253</v>
      </c>
      <c r="D1000" s="103">
        <v>13</v>
      </c>
      <c r="E1000" s="103">
        <v>17</v>
      </c>
      <c r="F1000" s="103">
        <v>14</v>
      </c>
      <c r="G1000" s="103">
        <v>9</v>
      </c>
      <c r="H1000" s="104">
        <v>11</v>
      </c>
      <c r="I1000" s="97"/>
      <c r="J1000" s="97"/>
      <c r="K1000" s="97"/>
      <c r="L1000" s="97"/>
      <c r="M1000" s="97"/>
      <c r="N1000" s="97"/>
      <c r="O1000" s="97"/>
      <c r="P1000" s="17">
        <v>64</v>
      </c>
    </row>
    <row r="1001" spans="1:16" ht="45">
      <c r="A1001" s="38">
        <v>111</v>
      </c>
      <c r="B1001" s="38" t="s">
        <v>3</v>
      </c>
      <c r="C1001" s="65" t="s">
        <v>254</v>
      </c>
      <c r="D1001" s="103">
        <v>133</v>
      </c>
      <c r="E1001" s="103">
        <v>141</v>
      </c>
      <c r="F1001" s="103">
        <v>165</v>
      </c>
      <c r="G1001" s="103">
        <v>160</v>
      </c>
      <c r="H1001" s="104">
        <v>98</v>
      </c>
      <c r="I1001" s="97"/>
      <c r="J1001" s="97"/>
      <c r="K1001" s="97"/>
      <c r="L1001" s="97"/>
      <c r="M1001" s="97"/>
      <c r="N1001" s="97"/>
      <c r="O1001" s="97"/>
      <c r="P1001" s="17">
        <v>697</v>
      </c>
    </row>
    <row r="1002" spans="1:16" ht="60">
      <c r="A1002" s="38">
        <v>112</v>
      </c>
      <c r="B1002" s="38" t="s">
        <v>3</v>
      </c>
      <c r="C1002" s="65" t="s">
        <v>255</v>
      </c>
      <c r="D1002" s="103"/>
      <c r="E1002" s="103">
        <v>1</v>
      </c>
      <c r="F1002" s="103"/>
      <c r="G1002" s="103"/>
      <c r="H1002" s="104"/>
      <c r="I1002" s="97"/>
      <c r="J1002" s="97"/>
      <c r="K1002" s="97"/>
      <c r="L1002" s="97"/>
      <c r="M1002" s="97"/>
      <c r="N1002" s="97"/>
      <c r="O1002" s="97"/>
      <c r="P1002" s="17">
        <v>1</v>
      </c>
    </row>
    <row r="1003" spans="1:16" ht="60">
      <c r="A1003" s="38">
        <v>113</v>
      </c>
      <c r="B1003" s="38" t="s">
        <v>3</v>
      </c>
      <c r="C1003" s="65" t="s">
        <v>256</v>
      </c>
      <c r="D1003" s="103">
        <v>7</v>
      </c>
      <c r="E1003" s="103">
        <v>16</v>
      </c>
      <c r="F1003" s="103">
        <v>14</v>
      </c>
      <c r="G1003" s="103">
        <v>26</v>
      </c>
      <c r="H1003" s="104">
        <v>18</v>
      </c>
      <c r="I1003" s="97"/>
      <c r="J1003" s="97"/>
      <c r="K1003" s="97"/>
      <c r="L1003" s="97"/>
      <c r="M1003" s="97"/>
      <c r="N1003" s="97"/>
      <c r="O1003" s="97"/>
      <c r="P1003" s="17">
        <v>81</v>
      </c>
    </row>
    <row r="1004" spans="1:16" ht="45">
      <c r="A1004" s="38">
        <v>114</v>
      </c>
      <c r="B1004" s="38" t="s">
        <v>3</v>
      </c>
      <c r="C1004" s="65" t="s">
        <v>257</v>
      </c>
      <c r="D1004" s="103">
        <v>3</v>
      </c>
      <c r="E1004" s="103">
        <v>1</v>
      </c>
      <c r="F1004" s="103">
        <v>3</v>
      </c>
      <c r="G1004" s="103">
        <v>3</v>
      </c>
      <c r="H1004" s="104">
        <v>3</v>
      </c>
      <c r="I1004" s="97"/>
      <c r="J1004" s="97"/>
      <c r="K1004" s="97"/>
      <c r="L1004" s="97"/>
      <c r="M1004" s="97"/>
      <c r="N1004" s="97"/>
      <c r="O1004" s="97"/>
      <c r="P1004" s="17">
        <v>13</v>
      </c>
    </row>
    <row r="1005" spans="1:16" ht="75">
      <c r="A1005" s="38">
        <v>115</v>
      </c>
      <c r="B1005" s="38" t="s">
        <v>3</v>
      </c>
      <c r="C1005" s="65" t="s">
        <v>258</v>
      </c>
      <c r="D1005" s="103">
        <v>108</v>
      </c>
      <c r="E1005" s="103">
        <v>99</v>
      </c>
      <c r="F1005" s="103">
        <v>105</v>
      </c>
      <c r="G1005" s="103">
        <v>113</v>
      </c>
      <c r="H1005" s="104">
        <v>123</v>
      </c>
      <c r="I1005" s="97"/>
      <c r="J1005" s="97"/>
      <c r="K1005" s="97"/>
      <c r="L1005" s="97"/>
      <c r="M1005" s="97"/>
      <c r="N1005" s="97"/>
      <c r="O1005" s="97"/>
      <c r="P1005" s="17">
        <v>548</v>
      </c>
    </row>
    <row r="1006" spans="1:16" ht="30">
      <c r="A1006" s="38">
        <v>116</v>
      </c>
      <c r="B1006" s="38" t="s">
        <v>3</v>
      </c>
      <c r="C1006" s="65" t="s">
        <v>260</v>
      </c>
      <c r="D1006" s="103">
        <v>4</v>
      </c>
      <c r="E1006" s="103">
        <v>1</v>
      </c>
      <c r="F1006" s="103">
        <v>2</v>
      </c>
      <c r="G1006" s="103">
        <v>2</v>
      </c>
      <c r="H1006" s="104">
        <v>3</v>
      </c>
      <c r="I1006" s="97"/>
      <c r="J1006" s="97"/>
      <c r="K1006" s="97"/>
      <c r="L1006" s="97"/>
      <c r="M1006" s="97"/>
      <c r="N1006" s="97"/>
      <c r="O1006" s="97"/>
      <c r="P1006" s="17">
        <v>12</v>
      </c>
    </row>
    <row r="1007" spans="1:16" ht="60">
      <c r="A1007" s="38">
        <v>117</v>
      </c>
      <c r="B1007" s="38" t="s">
        <v>3</v>
      </c>
      <c r="C1007" s="65" t="s">
        <v>261</v>
      </c>
      <c r="D1007" s="103">
        <v>13</v>
      </c>
      <c r="E1007" s="103">
        <v>13</v>
      </c>
      <c r="F1007" s="103">
        <v>13</v>
      </c>
      <c r="G1007" s="103">
        <v>15</v>
      </c>
      <c r="H1007" s="104">
        <v>20</v>
      </c>
      <c r="I1007" s="97"/>
      <c r="J1007" s="97"/>
      <c r="K1007" s="97"/>
      <c r="L1007" s="97"/>
      <c r="M1007" s="97"/>
      <c r="N1007" s="97"/>
      <c r="O1007" s="97"/>
      <c r="P1007" s="17">
        <v>74</v>
      </c>
    </row>
    <row r="1008" spans="1:16" ht="60">
      <c r="A1008" s="38">
        <v>118</v>
      </c>
      <c r="B1008" s="38" t="s">
        <v>3</v>
      </c>
      <c r="C1008" s="65" t="s">
        <v>262</v>
      </c>
      <c r="D1008" s="103">
        <v>18</v>
      </c>
      <c r="E1008" s="103">
        <v>19</v>
      </c>
      <c r="F1008" s="103">
        <v>17</v>
      </c>
      <c r="G1008" s="103">
        <v>14</v>
      </c>
      <c r="H1008" s="104">
        <v>15</v>
      </c>
      <c r="I1008" s="97"/>
      <c r="J1008" s="97"/>
      <c r="K1008" s="97"/>
      <c r="L1008" s="97"/>
      <c r="M1008" s="97"/>
      <c r="N1008" s="97"/>
      <c r="O1008" s="97"/>
      <c r="P1008" s="17">
        <v>83</v>
      </c>
    </row>
    <row r="1009" spans="1:16" ht="75">
      <c r="A1009" s="38">
        <v>119</v>
      </c>
      <c r="B1009" s="38" t="s">
        <v>3</v>
      </c>
      <c r="C1009" s="65" t="s">
        <v>263</v>
      </c>
      <c r="D1009" s="103">
        <v>2</v>
      </c>
      <c r="E1009" s="103">
        <v>3</v>
      </c>
      <c r="F1009" s="103">
        <v>3</v>
      </c>
      <c r="G1009" s="103">
        <v>2</v>
      </c>
      <c r="H1009" s="104">
        <v>2</v>
      </c>
      <c r="I1009" s="97"/>
      <c r="J1009" s="97"/>
      <c r="K1009" s="97"/>
      <c r="L1009" s="97"/>
      <c r="M1009" s="97"/>
      <c r="N1009" s="97"/>
      <c r="O1009" s="97"/>
      <c r="P1009" s="17">
        <v>12</v>
      </c>
    </row>
    <row r="1010" spans="1:16" ht="45">
      <c r="A1010" s="38">
        <v>120</v>
      </c>
      <c r="B1010" s="38" t="s">
        <v>3</v>
      </c>
      <c r="C1010" s="65" t="s">
        <v>264</v>
      </c>
      <c r="D1010" s="103">
        <v>2</v>
      </c>
      <c r="E1010" s="103">
        <v>1</v>
      </c>
      <c r="F1010" s="103"/>
      <c r="G1010" s="103"/>
      <c r="H1010" s="104"/>
      <c r="I1010" s="97"/>
      <c r="J1010" s="97"/>
      <c r="K1010" s="97"/>
      <c r="L1010" s="97"/>
      <c r="M1010" s="97"/>
      <c r="N1010" s="97"/>
      <c r="O1010" s="97"/>
      <c r="P1010" s="17">
        <v>3</v>
      </c>
    </row>
    <row r="1011" spans="1:16" ht="30">
      <c r="A1011" s="38">
        <v>121</v>
      </c>
      <c r="B1011" s="38" t="s">
        <v>3</v>
      </c>
      <c r="C1011" s="65" t="s">
        <v>265</v>
      </c>
      <c r="D1011" s="103"/>
      <c r="E1011" s="103">
        <v>1</v>
      </c>
      <c r="F1011" s="103"/>
      <c r="G1011" s="103">
        <v>3</v>
      </c>
      <c r="H1011" s="104">
        <v>1</v>
      </c>
      <c r="I1011" s="97"/>
      <c r="J1011" s="97"/>
      <c r="K1011" s="97"/>
      <c r="L1011" s="97"/>
      <c r="M1011" s="97"/>
      <c r="N1011" s="97"/>
      <c r="O1011" s="97"/>
      <c r="P1011" s="17">
        <v>5</v>
      </c>
    </row>
    <row r="1012" spans="1:16" ht="45">
      <c r="A1012" s="38">
        <v>122</v>
      </c>
      <c r="B1012" s="38" t="s">
        <v>3</v>
      </c>
      <c r="C1012" s="65" t="s">
        <v>266</v>
      </c>
      <c r="D1012" s="103">
        <v>7</v>
      </c>
      <c r="E1012" s="103">
        <v>4</v>
      </c>
      <c r="F1012" s="103">
        <v>3</v>
      </c>
      <c r="G1012" s="103">
        <v>5</v>
      </c>
      <c r="H1012" s="104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30">
      <c r="A1013" s="38">
        <v>123</v>
      </c>
      <c r="B1013" s="38" t="s">
        <v>3</v>
      </c>
      <c r="C1013" s="65" t="s">
        <v>267</v>
      </c>
      <c r="D1013" s="103">
        <v>7</v>
      </c>
      <c r="E1013" s="103">
        <v>8</v>
      </c>
      <c r="F1013" s="103">
        <v>5</v>
      </c>
      <c r="G1013" s="103">
        <v>6</v>
      </c>
      <c r="H1013" s="104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60">
      <c r="A1014" s="38">
        <v>124</v>
      </c>
      <c r="B1014" s="38" t="s">
        <v>3</v>
      </c>
      <c r="C1014" s="65" t="s">
        <v>268</v>
      </c>
      <c r="D1014" s="103">
        <v>40</v>
      </c>
      <c r="E1014" s="103">
        <v>43</v>
      </c>
      <c r="F1014" s="103">
        <v>53</v>
      </c>
      <c r="G1014" s="103">
        <v>52</v>
      </c>
      <c r="H1014" s="104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30">
      <c r="A1015" s="38">
        <v>125</v>
      </c>
      <c r="B1015" s="38" t="s">
        <v>3</v>
      </c>
      <c r="C1015" s="65" t="s">
        <v>269</v>
      </c>
      <c r="D1015" s="103">
        <v>1</v>
      </c>
      <c r="E1015" s="103"/>
      <c r="F1015" s="103">
        <v>2</v>
      </c>
      <c r="G1015" s="103">
        <v>2</v>
      </c>
      <c r="H1015" s="104">
        <v>3</v>
      </c>
      <c r="I1015" s="97"/>
      <c r="J1015" s="97"/>
      <c r="K1015" s="97"/>
      <c r="L1015" s="97"/>
      <c r="M1015" s="97"/>
      <c r="N1015" s="97"/>
      <c r="O1015" s="97"/>
      <c r="P1015" s="17">
        <v>8</v>
      </c>
    </row>
    <row r="1016" spans="1:16" ht="45">
      <c r="A1016" s="38">
        <v>126</v>
      </c>
      <c r="B1016" s="38" t="s">
        <v>3</v>
      </c>
      <c r="C1016" s="65" t="s">
        <v>270</v>
      </c>
      <c r="D1016" s="103">
        <v>18</v>
      </c>
      <c r="E1016" s="103">
        <v>15</v>
      </c>
      <c r="F1016" s="103">
        <v>16</v>
      </c>
      <c r="G1016" s="103">
        <v>12</v>
      </c>
      <c r="H1016" s="104">
        <v>15</v>
      </c>
      <c r="I1016" s="97"/>
      <c r="J1016" s="97"/>
      <c r="K1016" s="97"/>
      <c r="L1016" s="97"/>
      <c r="M1016" s="97"/>
      <c r="N1016" s="97"/>
      <c r="O1016" s="97"/>
      <c r="P1016" s="17">
        <v>76</v>
      </c>
    </row>
    <row r="1017" spans="1:16" ht="45">
      <c r="A1017" s="38">
        <v>127</v>
      </c>
      <c r="B1017" s="38" t="s">
        <v>3</v>
      </c>
      <c r="C1017" s="65" t="s">
        <v>271</v>
      </c>
      <c r="D1017" s="103">
        <v>7</v>
      </c>
      <c r="E1017" s="103">
        <v>9</v>
      </c>
      <c r="F1017" s="103">
        <v>9</v>
      </c>
      <c r="G1017" s="103">
        <v>11</v>
      </c>
      <c r="H1017" s="104">
        <v>6</v>
      </c>
      <c r="I1017" s="97"/>
      <c r="J1017" s="97"/>
      <c r="K1017" s="97"/>
      <c r="L1017" s="97"/>
      <c r="M1017" s="97"/>
      <c r="N1017" s="97"/>
      <c r="O1017" s="97"/>
      <c r="P1017" s="17">
        <v>42</v>
      </c>
    </row>
    <row r="1018" spans="1:16" ht="60">
      <c r="A1018" s="38">
        <v>128</v>
      </c>
      <c r="B1018" s="38" t="s">
        <v>3</v>
      </c>
      <c r="C1018" s="65" t="s">
        <v>272</v>
      </c>
      <c r="D1018" s="103">
        <v>2</v>
      </c>
      <c r="E1018" s="103"/>
      <c r="F1018" s="103"/>
      <c r="G1018" s="103"/>
      <c r="H1018" s="104"/>
      <c r="I1018" s="97"/>
      <c r="J1018" s="97"/>
      <c r="K1018" s="97"/>
      <c r="L1018" s="97"/>
      <c r="M1018" s="97"/>
      <c r="N1018" s="97"/>
      <c r="O1018" s="97"/>
      <c r="P1018" s="17">
        <v>2</v>
      </c>
    </row>
    <row r="1019" spans="1:16" ht="60">
      <c r="A1019" s="38">
        <v>129</v>
      </c>
      <c r="B1019" s="38" t="s">
        <v>3</v>
      </c>
      <c r="C1019" s="65" t="s">
        <v>273</v>
      </c>
      <c r="D1019" s="103">
        <v>31</v>
      </c>
      <c r="E1019" s="103">
        <v>39</v>
      </c>
      <c r="F1019" s="103">
        <v>36</v>
      </c>
      <c r="G1019" s="103">
        <v>36</v>
      </c>
      <c r="H1019" s="104">
        <v>39</v>
      </c>
      <c r="I1019" s="97"/>
      <c r="J1019" s="97"/>
      <c r="K1019" s="97"/>
      <c r="L1019" s="97"/>
      <c r="M1019" s="97"/>
      <c r="N1019" s="97"/>
      <c r="O1019" s="97"/>
      <c r="P1019" s="17">
        <v>181</v>
      </c>
    </row>
    <row r="1020" spans="1:16" ht="45">
      <c r="A1020" s="38">
        <v>130</v>
      </c>
      <c r="B1020" s="38" t="s">
        <v>3</v>
      </c>
      <c r="C1020" s="65" t="s">
        <v>274</v>
      </c>
      <c r="D1020" s="103">
        <v>13</v>
      </c>
      <c r="E1020" s="103">
        <v>10</v>
      </c>
      <c r="F1020" s="103">
        <v>12</v>
      </c>
      <c r="G1020" s="103">
        <v>12</v>
      </c>
      <c r="H1020" s="104">
        <v>11</v>
      </c>
      <c r="I1020" s="97"/>
      <c r="J1020" s="97"/>
      <c r="K1020" s="97"/>
      <c r="L1020" s="97"/>
      <c r="M1020" s="97"/>
      <c r="N1020" s="97"/>
      <c r="O1020" s="97"/>
      <c r="P1020" s="17">
        <v>58</v>
      </c>
    </row>
    <row r="1021" spans="1:16" ht="45">
      <c r="A1021" s="38">
        <v>131</v>
      </c>
      <c r="B1021" s="38" t="s">
        <v>3</v>
      </c>
      <c r="C1021" s="65" t="s">
        <v>275</v>
      </c>
      <c r="D1021" s="103">
        <v>84</v>
      </c>
      <c r="E1021" s="103">
        <v>148</v>
      </c>
      <c r="F1021" s="103">
        <v>214</v>
      </c>
      <c r="G1021" s="103">
        <v>164</v>
      </c>
      <c r="H1021" s="104">
        <v>141</v>
      </c>
      <c r="I1021" s="97"/>
      <c r="J1021" s="97"/>
      <c r="K1021" s="97"/>
      <c r="L1021" s="97"/>
      <c r="M1021" s="97"/>
      <c r="N1021" s="97"/>
      <c r="O1021" s="97"/>
      <c r="P1021" s="17">
        <v>751</v>
      </c>
    </row>
    <row r="1022" spans="1:16" ht="45">
      <c r="A1022" s="38">
        <v>132</v>
      </c>
      <c r="B1022" s="38" t="s">
        <v>3</v>
      </c>
      <c r="C1022" s="65" t="s">
        <v>276</v>
      </c>
      <c r="D1022" s="103"/>
      <c r="E1022" s="103">
        <v>1</v>
      </c>
      <c r="F1022" s="103"/>
      <c r="G1022" s="103"/>
      <c r="H1022" s="104"/>
      <c r="I1022" s="97"/>
      <c r="J1022" s="97"/>
      <c r="K1022" s="97"/>
      <c r="L1022" s="97"/>
      <c r="M1022" s="97"/>
      <c r="N1022" s="97"/>
      <c r="O1022" s="97"/>
      <c r="P1022" s="17">
        <v>1</v>
      </c>
    </row>
    <row r="1023" spans="1:16" ht="60">
      <c r="A1023" s="38">
        <v>133</v>
      </c>
      <c r="B1023" s="38" t="s">
        <v>3</v>
      </c>
      <c r="C1023" s="65" t="s">
        <v>277</v>
      </c>
      <c r="D1023" s="103"/>
      <c r="E1023" s="103"/>
      <c r="F1023" s="103"/>
      <c r="G1023" s="103">
        <v>1</v>
      </c>
      <c r="H1023" s="104"/>
      <c r="I1023" s="97"/>
      <c r="J1023" s="97"/>
      <c r="K1023" s="97"/>
      <c r="L1023" s="97"/>
      <c r="M1023" s="97"/>
      <c r="N1023" s="97"/>
      <c r="O1023" s="97"/>
      <c r="P1023" s="17">
        <v>1</v>
      </c>
    </row>
    <row r="1024" spans="1:16" ht="45">
      <c r="A1024" s="38">
        <v>134</v>
      </c>
      <c r="B1024" s="38" t="s">
        <v>3</v>
      </c>
      <c r="C1024" s="65" t="s">
        <v>278</v>
      </c>
      <c r="D1024" s="103">
        <v>9</v>
      </c>
      <c r="E1024" s="103">
        <v>10</v>
      </c>
      <c r="F1024" s="103">
        <v>7</v>
      </c>
      <c r="G1024" s="103">
        <v>7</v>
      </c>
      <c r="H1024" s="104">
        <v>5</v>
      </c>
      <c r="I1024" s="97"/>
      <c r="J1024" s="97"/>
      <c r="K1024" s="97"/>
      <c r="L1024" s="97"/>
      <c r="M1024" s="97"/>
      <c r="N1024" s="97"/>
      <c r="O1024" s="97"/>
      <c r="P1024" s="17">
        <v>38</v>
      </c>
    </row>
    <row r="1025" spans="1:16" ht="30">
      <c r="A1025" s="38">
        <v>135</v>
      </c>
      <c r="B1025" s="38" t="s">
        <v>3</v>
      </c>
      <c r="C1025" s="65" t="s">
        <v>279</v>
      </c>
      <c r="D1025" s="103">
        <v>11</v>
      </c>
      <c r="E1025" s="103">
        <v>13</v>
      </c>
      <c r="F1025" s="103">
        <v>24</v>
      </c>
      <c r="G1025" s="103">
        <v>24</v>
      </c>
      <c r="H1025" s="104">
        <v>16</v>
      </c>
      <c r="I1025" s="97"/>
      <c r="J1025" s="97"/>
      <c r="K1025" s="97"/>
      <c r="L1025" s="97"/>
      <c r="M1025" s="97"/>
      <c r="N1025" s="97"/>
      <c r="O1025" s="97"/>
      <c r="P1025" s="17">
        <v>88</v>
      </c>
    </row>
    <row r="1026" spans="1:16" ht="45">
      <c r="A1026" s="38">
        <v>136</v>
      </c>
      <c r="B1026" s="38" t="s">
        <v>3</v>
      </c>
      <c r="C1026" s="65" t="s">
        <v>280</v>
      </c>
      <c r="D1026" s="103">
        <v>8</v>
      </c>
      <c r="E1026" s="103">
        <v>5</v>
      </c>
      <c r="F1026" s="103">
        <v>6</v>
      </c>
      <c r="G1026" s="103">
        <v>21</v>
      </c>
      <c r="H1026" s="104">
        <v>8</v>
      </c>
      <c r="I1026" s="97"/>
      <c r="J1026" s="97"/>
      <c r="K1026" s="97"/>
      <c r="L1026" s="97"/>
      <c r="M1026" s="97"/>
      <c r="N1026" s="97"/>
      <c r="O1026" s="97"/>
      <c r="P1026" s="17">
        <v>48</v>
      </c>
    </row>
    <row r="1027" spans="1:16" ht="45">
      <c r="A1027" s="38">
        <v>137</v>
      </c>
      <c r="B1027" s="38" t="s">
        <v>3</v>
      </c>
      <c r="C1027" s="65" t="s">
        <v>147</v>
      </c>
      <c r="D1027" s="103">
        <v>1</v>
      </c>
      <c r="E1027" s="103"/>
      <c r="F1027" s="103"/>
      <c r="G1027" s="103"/>
      <c r="H1027" s="104"/>
      <c r="I1027" s="97"/>
      <c r="J1027" s="97"/>
      <c r="K1027" s="97"/>
      <c r="L1027" s="97"/>
      <c r="M1027" s="97"/>
      <c r="N1027" s="97"/>
      <c r="O1027" s="97"/>
      <c r="P1027" s="17">
        <v>1</v>
      </c>
    </row>
    <row r="1028" spans="1:16" ht="90">
      <c r="A1028" s="38">
        <v>138</v>
      </c>
      <c r="B1028" s="38" t="s">
        <v>3</v>
      </c>
      <c r="C1028" s="65" t="s">
        <v>1624</v>
      </c>
      <c r="D1028" s="103">
        <v>2</v>
      </c>
      <c r="E1028" s="103"/>
      <c r="F1028" s="103"/>
      <c r="G1028" s="103"/>
      <c r="H1028" s="104"/>
      <c r="I1028" s="97"/>
      <c r="J1028" s="97"/>
      <c r="K1028" s="97"/>
      <c r="L1028" s="97"/>
      <c r="M1028" s="97"/>
      <c r="N1028" s="97"/>
      <c r="O1028" s="97"/>
      <c r="P1028" s="17">
        <v>2</v>
      </c>
    </row>
    <row r="1029" spans="1:16" ht="45">
      <c r="A1029" s="38">
        <v>139</v>
      </c>
      <c r="B1029" s="38" t="s">
        <v>3</v>
      </c>
      <c r="C1029" s="65" t="s">
        <v>213</v>
      </c>
      <c r="D1029" s="103">
        <v>2</v>
      </c>
      <c r="E1029" s="103">
        <v>2</v>
      </c>
      <c r="F1029" s="103">
        <v>1</v>
      </c>
      <c r="G1029" s="103">
        <v>1</v>
      </c>
      <c r="H1029" s="104"/>
      <c r="I1029" s="97"/>
      <c r="J1029" s="97"/>
      <c r="K1029" s="97"/>
      <c r="L1029" s="97"/>
      <c r="M1029" s="97"/>
      <c r="N1029" s="97"/>
      <c r="O1029" s="97"/>
      <c r="P1029" s="17">
        <v>6</v>
      </c>
    </row>
    <row r="1030" spans="1:16" ht="75">
      <c r="A1030" s="38">
        <v>140</v>
      </c>
      <c r="B1030" s="38" t="s">
        <v>3</v>
      </c>
      <c r="C1030" s="65" t="s">
        <v>219</v>
      </c>
      <c r="D1030" s="103">
        <v>2</v>
      </c>
      <c r="E1030" s="103">
        <v>2</v>
      </c>
      <c r="F1030" s="103">
        <v>1</v>
      </c>
      <c r="G1030" s="103">
        <v>2</v>
      </c>
      <c r="H1030" s="104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30">
      <c r="A1031" s="38">
        <v>141</v>
      </c>
      <c r="B1031" s="38" t="s">
        <v>3</v>
      </c>
      <c r="C1031" s="65" t="s">
        <v>1625</v>
      </c>
      <c r="D1031" s="103">
        <v>4</v>
      </c>
      <c r="E1031" s="103">
        <v>4</v>
      </c>
      <c r="F1031" s="103"/>
      <c r="G1031" s="103"/>
      <c r="H1031" s="104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30">
      <c r="A1032" s="38">
        <v>142</v>
      </c>
      <c r="B1032" s="38" t="s">
        <v>3</v>
      </c>
      <c r="C1032" s="65" t="s">
        <v>247</v>
      </c>
      <c r="D1032" s="103">
        <v>3</v>
      </c>
      <c r="E1032" s="103">
        <v>7</v>
      </c>
      <c r="F1032" s="103">
        <v>3</v>
      </c>
      <c r="G1032" s="103">
        <v>6</v>
      </c>
      <c r="H1032" s="104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60">
      <c r="A1033" s="38">
        <v>143</v>
      </c>
      <c r="B1033" s="38" t="s">
        <v>3</v>
      </c>
      <c r="C1033" s="65" t="s">
        <v>168</v>
      </c>
      <c r="D1033" s="103"/>
      <c r="E1033" s="103">
        <v>1</v>
      </c>
      <c r="F1033" s="103">
        <v>2</v>
      </c>
      <c r="G1033" s="103">
        <v>1</v>
      </c>
      <c r="H1033" s="104">
        <v>1</v>
      </c>
      <c r="I1033" s="97"/>
      <c r="J1033" s="97"/>
      <c r="K1033" s="97"/>
      <c r="L1033" s="97"/>
      <c r="M1033" s="97"/>
      <c r="N1033" s="97"/>
      <c r="O1033" s="97"/>
      <c r="P1033" s="17">
        <v>5</v>
      </c>
    </row>
    <row r="1034" spans="1:16" ht="75">
      <c r="A1034" s="38">
        <v>144</v>
      </c>
      <c r="B1034" s="38" t="s">
        <v>3</v>
      </c>
      <c r="C1034" s="65" t="s">
        <v>179</v>
      </c>
      <c r="D1034" s="103"/>
      <c r="E1034" s="103">
        <v>1</v>
      </c>
      <c r="F1034" s="103"/>
      <c r="G1034" s="103"/>
      <c r="H1034" s="104"/>
      <c r="I1034" s="97"/>
      <c r="J1034" s="97"/>
      <c r="K1034" s="97"/>
      <c r="L1034" s="97"/>
      <c r="M1034" s="97"/>
      <c r="N1034" s="97"/>
      <c r="O1034" s="97"/>
      <c r="P1034" s="17">
        <v>1</v>
      </c>
    </row>
    <row r="1035" spans="1:16" ht="45">
      <c r="A1035" s="38">
        <v>145</v>
      </c>
      <c r="B1035" s="38" t="s">
        <v>3</v>
      </c>
      <c r="C1035" s="65" t="s">
        <v>226</v>
      </c>
      <c r="D1035" s="103"/>
      <c r="E1035" s="103">
        <v>1</v>
      </c>
      <c r="F1035" s="103"/>
      <c r="G1035" s="103"/>
      <c r="H1035" s="104"/>
      <c r="I1035" s="97"/>
      <c r="J1035" s="97"/>
      <c r="K1035" s="97"/>
      <c r="L1035" s="97"/>
      <c r="M1035" s="97"/>
      <c r="N1035" s="97"/>
      <c r="O1035" s="97"/>
      <c r="P1035" s="17">
        <v>1</v>
      </c>
    </row>
    <row r="1036" spans="1:16" ht="60">
      <c r="A1036" s="38">
        <v>146</v>
      </c>
      <c r="B1036" s="38" t="s">
        <v>3</v>
      </c>
      <c r="C1036" s="65" t="s">
        <v>145</v>
      </c>
      <c r="D1036" s="103"/>
      <c r="E1036" s="103"/>
      <c r="F1036" s="103">
        <v>1</v>
      </c>
      <c r="G1036" s="103"/>
      <c r="H1036" s="104"/>
      <c r="I1036" s="97"/>
      <c r="J1036" s="97"/>
      <c r="K1036" s="97"/>
      <c r="L1036" s="97"/>
      <c r="M1036" s="97"/>
      <c r="N1036" s="97"/>
      <c r="O1036" s="97"/>
      <c r="P1036" s="17">
        <v>1</v>
      </c>
    </row>
    <row r="1037" spans="1:16" ht="75">
      <c r="A1037" s="38">
        <v>147</v>
      </c>
      <c r="B1037" s="38" t="s">
        <v>3</v>
      </c>
      <c r="C1037" s="65" t="s">
        <v>245</v>
      </c>
      <c r="D1037" s="103"/>
      <c r="E1037" s="103"/>
      <c r="F1037" s="103">
        <v>1</v>
      </c>
      <c r="G1037" s="103">
        <v>1</v>
      </c>
      <c r="H1037" s="104"/>
      <c r="I1037" s="97"/>
      <c r="J1037" s="97"/>
      <c r="K1037" s="97"/>
      <c r="L1037" s="97"/>
      <c r="M1037" s="97"/>
      <c r="N1037" s="97"/>
      <c r="O1037" s="97"/>
      <c r="P1037" s="17">
        <v>2</v>
      </c>
    </row>
    <row r="1038" spans="1:16" ht="105">
      <c r="A1038" s="38">
        <v>148</v>
      </c>
      <c r="B1038" s="38" t="s">
        <v>3</v>
      </c>
      <c r="C1038" s="65" t="s">
        <v>259</v>
      </c>
      <c r="D1038" s="103"/>
      <c r="E1038" s="103"/>
      <c r="F1038" s="103">
        <v>4</v>
      </c>
      <c r="G1038" s="103">
        <v>2</v>
      </c>
      <c r="H1038" s="104">
        <v>1</v>
      </c>
      <c r="I1038" s="97"/>
      <c r="J1038" s="97"/>
      <c r="K1038" s="97"/>
      <c r="L1038" s="97"/>
      <c r="M1038" s="97"/>
      <c r="N1038" s="97"/>
      <c r="O1038" s="97"/>
      <c r="P1038" s="17">
        <v>7</v>
      </c>
    </row>
    <row r="1039" spans="1:16" ht="45">
      <c r="A1039" s="38">
        <v>149</v>
      </c>
      <c r="B1039" s="38" t="s">
        <v>3</v>
      </c>
      <c r="C1039" s="65" t="s">
        <v>1626</v>
      </c>
      <c r="D1039" s="103"/>
      <c r="E1039" s="103"/>
      <c r="F1039" s="103"/>
      <c r="G1039" s="103">
        <v>2</v>
      </c>
      <c r="H1039" s="104"/>
      <c r="I1039" s="97"/>
      <c r="J1039" s="97"/>
      <c r="K1039" s="97"/>
      <c r="L1039" s="97"/>
      <c r="M1039" s="97"/>
      <c r="N1039" s="97"/>
      <c r="O1039" s="97"/>
      <c r="P1039" s="17">
        <v>2</v>
      </c>
    </row>
    <row r="1040" spans="1:16" ht="30">
      <c r="A1040" s="38">
        <v>150</v>
      </c>
      <c r="B1040" s="38" t="s">
        <v>3</v>
      </c>
      <c r="C1040" s="65" t="s">
        <v>1627</v>
      </c>
      <c r="D1040" s="103"/>
      <c r="E1040" s="103"/>
      <c r="F1040" s="103"/>
      <c r="G1040" s="103">
        <v>1</v>
      </c>
      <c r="H1040" s="104"/>
      <c r="I1040" s="97"/>
      <c r="J1040" s="97"/>
      <c r="K1040" s="97"/>
      <c r="L1040" s="97"/>
      <c r="M1040" s="97"/>
      <c r="N1040" s="97"/>
      <c r="O1040" s="97"/>
      <c r="P1040" s="17">
        <v>1</v>
      </c>
    </row>
    <row r="1041" spans="1:16" ht="60">
      <c r="A1041" s="38">
        <v>151</v>
      </c>
      <c r="B1041" s="38" t="s">
        <v>3</v>
      </c>
      <c r="C1041" s="65" t="s">
        <v>143</v>
      </c>
      <c r="D1041" s="103"/>
      <c r="E1041" s="103"/>
      <c r="F1041" s="103"/>
      <c r="G1041" s="103">
        <v>1</v>
      </c>
      <c r="H1041" s="104"/>
      <c r="I1041" s="97"/>
      <c r="J1041" s="97"/>
      <c r="K1041" s="97"/>
      <c r="L1041" s="97"/>
      <c r="M1041" s="97"/>
      <c r="N1041" s="97"/>
      <c r="O1041" s="97"/>
      <c r="P1041" s="17">
        <v>1</v>
      </c>
    </row>
    <row r="1042" spans="1:16" ht="45">
      <c r="A1042" s="38">
        <v>152</v>
      </c>
      <c r="B1042" s="38" t="s">
        <v>3</v>
      </c>
      <c r="C1042" s="65" t="s">
        <v>171</v>
      </c>
      <c r="D1042" s="103"/>
      <c r="E1042" s="103"/>
      <c r="F1042" s="103"/>
      <c r="G1042" s="103">
        <v>33</v>
      </c>
      <c r="H1042" s="104">
        <v>31</v>
      </c>
      <c r="I1042" s="97"/>
      <c r="J1042" s="97"/>
      <c r="K1042" s="97"/>
      <c r="L1042" s="97"/>
      <c r="M1042" s="97"/>
      <c r="N1042" s="97"/>
      <c r="O1042" s="97"/>
      <c r="P1042" s="17">
        <v>64</v>
      </c>
    </row>
    <row r="1043" spans="1:16" ht="30">
      <c r="A1043" s="38">
        <v>153</v>
      </c>
      <c r="B1043" s="38" t="s">
        <v>3</v>
      </c>
      <c r="C1043" s="65" t="s">
        <v>231</v>
      </c>
      <c r="D1043" s="103"/>
      <c r="E1043" s="103"/>
      <c r="F1043" s="103"/>
      <c r="G1043" s="103">
        <v>1</v>
      </c>
      <c r="H1043" s="104"/>
      <c r="I1043" s="97"/>
      <c r="J1043" s="97"/>
      <c r="K1043" s="97"/>
      <c r="L1043" s="97"/>
      <c r="M1043" s="97"/>
      <c r="N1043" s="97"/>
      <c r="O1043" s="97"/>
      <c r="P1043" s="17">
        <v>1</v>
      </c>
    </row>
    <row r="1044" spans="1:16">
      <c r="A1044" s="38">
        <v>154</v>
      </c>
      <c r="B1044" s="38" t="s">
        <v>3</v>
      </c>
      <c r="C1044" s="65" t="s">
        <v>1628</v>
      </c>
      <c r="D1044" s="103"/>
      <c r="E1044" s="103"/>
      <c r="F1044" s="103"/>
      <c r="G1044" s="103">
        <v>2</v>
      </c>
      <c r="H1044" s="104"/>
      <c r="I1044" s="97"/>
      <c r="J1044" s="97"/>
      <c r="K1044" s="97"/>
      <c r="L1044" s="97"/>
      <c r="M1044" s="97"/>
      <c r="N1044" s="97"/>
      <c r="O1044" s="97"/>
      <c r="P1044" s="17">
        <v>2</v>
      </c>
    </row>
    <row r="1045" spans="1:16" ht="60">
      <c r="A1045" s="38">
        <v>155</v>
      </c>
      <c r="B1045" s="38" t="s">
        <v>3</v>
      </c>
      <c r="C1045" s="65" t="s">
        <v>1629</v>
      </c>
      <c r="D1045" s="103"/>
      <c r="E1045" s="103"/>
      <c r="F1045" s="103"/>
      <c r="G1045" s="103">
        <v>1</v>
      </c>
      <c r="H1045" s="104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75">
      <c r="A1046" s="38">
        <v>156</v>
      </c>
      <c r="B1046" s="38" t="s">
        <v>3</v>
      </c>
      <c r="C1046" s="65" t="s">
        <v>1812</v>
      </c>
      <c r="D1046" s="103"/>
      <c r="E1046" s="103"/>
      <c r="F1046" s="103"/>
      <c r="G1046" s="103"/>
      <c r="H1046" s="104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5">
      <c r="A1047" s="38">
        <v>157</v>
      </c>
      <c r="B1047" s="38" t="s">
        <v>3</v>
      </c>
      <c r="C1047" s="65" t="s">
        <v>1813</v>
      </c>
      <c r="D1047" s="103"/>
      <c r="E1047" s="103"/>
      <c r="F1047" s="103"/>
      <c r="G1047" s="103"/>
      <c r="H1047" s="104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60">
      <c r="A1048" s="38">
        <v>158</v>
      </c>
      <c r="B1048" s="38" t="s">
        <v>3</v>
      </c>
      <c r="C1048" s="65" t="s">
        <v>1814</v>
      </c>
      <c r="D1048" s="103"/>
      <c r="E1048" s="103"/>
      <c r="F1048" s="103"/>
      <c r="G1048" s="103"/>
      <c r="H1048" s="104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30">
      <c r="A1049" s="38">
        <v>159</v>
      </c>
      <c r="B1049" s="38" t="s">
        <v>3</v>
      </c>
      <c r="C1049" s="65" t="s">
        <v>1815</v>
      </c>
      <c r="D1049" s="103"/>
      <c r="E1049" s="103"/>
      <c r="F1049" s="103"/>
      <c r="G1049" s="103"/>
      <c r="H1049" s="104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30">
      <c r="A1050" s="38">
        <v>160</v>
      </c>
      <c r="B1050" s="38" t="s">
        <v>3</v>
      </c>
      <c r="C1050" s="65" t="s">
        <v>205</v>
      </c>
      <c r="D1050" s="103"/>
      <c r="E1050" s="103"/>
      <c r="F1050" s="103"/>
      <c r="G1050" s="103"/>
      <c r="H1050" s="104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30">
      <c r="A1051" s="38">
        <v>161</v>
      </c>
      <c r="B1051" s="38" t="s">
        <v>3</v>
      </c>
      <c r="C1051" s="65" t="s">
        <v>1816</v>
      </c>
      <c r="D1051" s="103"/>
      <c r="E1051" s="103"/>
      <c r="F1051" s="103"/>
      <c r="G1051" s="103"/>
      <c r="H1051" s="104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2026-09-12T03:16:06Z</dcterms:modified>
</cp:coreProperties>
</file>